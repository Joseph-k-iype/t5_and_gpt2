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search Register" sheetId="2" state="visible" r:id="rId4"/>
    <sheet name="Duplication &amp; Sprawl" sheetId="3" state="visible" r:id="rId5"/>
    <sheet name="Gaps &amp; Caveats" sheetId="4" state="visible" r:id="rId6"/>
    <sheet name="Deck Mappin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<sst xmlns="http://schemas.openxmlformats.org/spreadsheetml/2006/main" count="287" uniqueCount="246">
  <si>
    <t xml:space="preserve">AI Playbook Hub — Market Research Pack</t>
  </si>
  <si>
    <t xml:space="preserve">Compiled research supporting the executive deck  |  Web research conducted 25 July 2026  |  Prepared by Data &amp; AI Architecture with Claude</t>
  </si>
  <si>
    <t xml:space="preserve">Purpose</t>
  </si>
  <si>
    <t xml:space="preserve">Evidence base behind the 'Enterprise Problem' slide of the AI Playbook Hub executive deck, plus supporting findings usable elsewhere in the narrative. Every statistic used in the deck is traceable to a row on the 'Research Register' sheet.</t>
  </si>
  <si>
    <t xml:space="preserve">How to use</t>
  </si>
  <si>
    <t xml:space="preserve">1) 'Research Register' — every finding with metric, source, date, URL, reliability tier and where it is used in the deck.  2) 'Duplication &amp; Sprawl' — qualitative evidence on the specific problem the Hub solves.  3) 'Gaps &amp; Caveats' — what the research does NOT say, and licensing/attribution notes.  4) 'Deck Mapping' — which finding supports which slide and the suggested spoken line.</t>
  </si>
  <si>
    <t xml:space="preserve">Reliability tiers</t>
  </si>
  <si>
    <t xml:space="preserve">PRIMARY = the originating organisation's own publication (e.g. a Gartner press release on gartner.com).  SURVEY = named survey with stated methodology/sample.  SECONDARY = reputable trade press or analysis citing the originating research (verify against the original before formal circulation).  VENDOR = vendor-commissioned study (treat directionally).</t>
  </si>
  <si>
    <t xml:space="preserve">Key takeaway</t>
  </si>
  <si>
    <t xml:space="preserve">Published research quantifies AI project failure, abandonment and cost extensively — but NO published study directly quantifies duplication of AI effort inside enterprises. Analysts describe it qualitatively (IDC: 'fragmented and sometimes redundant'). This gap is itself the pitch: the AI Playbook Hub is the instrument that lets HSBC measure and prevent its own duplication.</t>
  </si>
  <si>
    <t xml:space="preserve">Findings in register</t>
  </si>
  <si>
    <t xml:space="preserve">PRIMARY-tier findings</t>
  </si>
  <si>
    <t xml:space="preserve">Used directly in deck</t>
  </si>
  <si>
    <t xml:space="preserve">Research Register</t>
  </si>
  <si>
    <t xml:space="preserve">All findings with sources. Reliability: PRIMARY / SURVEY / SECONDARY / VENDOR — see README.</t>
  </si>
  <si>
    <t xml:space="preserve">ID</t>
  </si>
  <si>
    <t xml:space="preserve">Finding (verbatim substance, paraphrased)</t>
  </si>
  <si>
    <t xml:space="preserve">Metric / value</t>
  </si>
  <si>
    <t xml:space="preserve">Source organisation</t>
  </si>
  <si>
    <t xml:space="preserve">Publication &amp; date</t>
  </si>
  <si>
    <t xml:space="preserve">Reliability</t>
  </si>
  <si>
    <t xml:space="preserve">URL</t>
  </si>
  <si>
    <t xml:space="preserve">Relevance to AI Playbook Hub</t>
  </si>
  <si>
    <t xml:space="preserve">Used in deck</t>
  </si>
  <si>
    <t xml:space="preserve">Caveats / notes</t>
  </si>
  <si>
    <t xml:space="preserve">R1</t>
  </si>
  <si>
    <t xml:space="preserve">At least 30% of generative AI projects will be abandoned after proof of concept by end of 2025, due to poor data quality, inadequate risk controls, escalating costs or unclear business value.</t>
  </si>
  <si>
    <t xml:space="preserve">≥30% abandoned after PoC</t>
  </si>
  <si>
    <t xml:space="preserve">Gartner</t>
  </si>
  <si>
    <t xml:space="preserve">Gartner press release, 29 Jul 2024 (Data &amp; Analytics Summit, Sydney; analyst Rita Sallam)</t>
  </si>
  <si>
    <t xml:space="preserve">PRIMARY</t>
  </si>
  <si>
    <t xml:space="preserve">https://www.gartner.com/en/newsroom/press-releases/2024-07-29-gartner-predicts-30-percent-of-generative-ai-projects-will-be-abandoned-after-proof-of-concept-by-end-of-2025</t>
  </si>
  <si>
    <t xml:space="preserve">Every abandoned duplicate PoC is avoidable spend; discovery-before-build reduces PoCs started on problems already solved.</t>
  </si>
  <si>
    <t xml:space="preserve">Slide 3 (stat panel)</t>
  </si>
  <si>
    <t xml:space="preserve">Prediction, not observed outcome. Safe to cite — public press release.</t>
  </si>
  <si>
    <t xml:space="preserve">R2</t>
  </si>
  <si>
    <t xml:space="preserve">GenAI business-model-innovation deployment approaches come with significant costs, ranging from $5 million to $20 million (Gartner Figure 1: costs by deployment approach).</t>
  </si>
  <si>
    <t xml:space="preserve">$5m–$20m per deployment approach</t>
  </si>
  <si>
    <t xml:space="preserve">Gartner press release, 29 Jul 2024</t>
  </si>
  <si>
    <t xml:space="preserve">Anchors the money at stake in any redundant build — even partial duplication of one initiative is material.</t>
  </si>
  <si>
    <t xml:space="preserve">Range covers business-model-innovation approaches, not every small use case — say 'up to' when speaking.</t>
  </si>
  <si>
    <t xml:space="preserve">R3</t>
  </si>
  <si>
    <t xml:space="preserve">Early adopters reported on average 15.8% revenue increase, 15.2% cost savings and 22.6% productivity improvement from GenAI (survey of 822 business leaders, Sep–Nov 2023).</t>
  </si>
  <si>
    <t xml:space="preserve">+15.8% rev / +15.2% cost / +22.6% productivity</t>
  </si>
  <si>
    <t xml:space="preserve">Gartner press release, 29 Jul 2024 (survey Sep–Nov 2023, n=822)</t>
  </si>
  <si>
    <t xml:space="preserve">PRIMARY / SURVEY</t>
  </si>
  <si>
    <t xml:space="preserve">Upside evidence: the value pool reuse accelerates access to.</t>
  </si>
  <si>
    <t xml:space="preserve">—</t>
  </si>
  <si>
    <t xml:space="preserve">Self-reported benefits; vary by use case and role.</t>
  </si>
  <si>
    <t xml:space="preserve">R4</t>
  </si>
  <si>
    <t xml:space="preserve">42% of companies abandoned most of their AI initiatives in 2025, up from 17% in 2024; the average organisation scrapped ~46% of AI proofs-of-concept before production.</t>
  </si>
  <si>
    <t xml:space="preserve">42% abandoned most initiatives; ~46% of PoCs scrapped</t>
  </si>
  <si>
    <t xml:space="preserve">S&amp;P Global Market Intelligence</t>
  </si>
  <si>
    <t xml:space="preserve">Voice of the Enterprise 2025 survey (1,000+ enterprises, North America &amp; Europe)</t>
  </si>
  <si>
    <t xml:space="preserve">SURVEY (via SECONDARY reporting)</t>
  </si>
  <si>
    <t xml:space="preserve">https://www.pertamapartners.com/insights/ai-project-failure-statistics-2026  |  https://workos.com/blog/why-most-enterprise-ai-projects-fail-patterns-that-work</t>
  </si>
  <si>
    <t xml:space="preserve">Shows waste is worsening year-on-year without structural fixes like discovery and reuse.</t>
  </si>
  <si>
    <t xml:space="preserve">Verified via two independent secondary sources; pull the original S&amp;P report before formal circulation.</t>
  </si>
  <si>
    <t xml:space="preserve">R5</t>
  </si>
  <si>
    <t xml:space="preserve">More than 80% of AI projects fail — roughly twice the failure rate of non-AI technology projects (meta-analysis of 65 documented enterprise AI initiatives, 2022–2025; 80.3%: 33.8% abandoned pre-production, 28.4% fail to deliver expected value in production, 18.1% never recoup costs).</t>
  </si>
  <si>
    <t xml:space="preserve">&gt;80% failure rate (2× non-AI IT)</t>
  </si>
  <si>
    <t xml:space="preserve">RAND Corporation</t>
  </si>
  <si>
    <t xml:space="preserve">RAND meta-analysis (cited widely 2024–2026)</t>
  </si>
  <si>
    <t xml:space="preserve">SECONDARY</t>
  </si>
  <si>
    <t xml:space="preserve">https://www.pertamapartners.com/insights/ai-project-failure-statistics-2026  |  https://mybusinessfuture.com/en/80-ai-failure-rate-2026-how-rand-and-gartner-expose-the-ai/</t>
  </si>
  <si>
    <t xml:space="preserve">Failure compounds duplication: teams repeat not just each other's builds but each other's failures. Reuse of proven assets attacks both.</t>
  </si>
  <si>
    <t xml:space="preserve">Speaker notes (slide 3)</t>
  </si>
  <si>
    <t xml:space="preserve">Cited via secondary sources; locate the original RAND report for formal use.</t>
  </si>
  <si>
    <t xml:space="preserve">R6</t>
  </si>
  <si>
    <t xml:space="preserve">Through 2026, organisations will abandon 60% of AI projects unsupported by AI-ready data; 63% of organisations do not have, or are unsure they have, the right data management practices for AI (Q3 2024 survey, n=248 data management leaders).</t>
  </si>
  <si>
    <t xml:space="preserve">60% abandonment where data not AI-ready; 63% lack practices</t>
  </si>
  <si>
    <t xml:space="preserve">Gartner press release, 26 Feb 2025</t>
  </si>
  <si>
    <t xml:space="preserve">https://www.gartner.com/en/newsroom/press-releases/2025-02-26-lack-of-ai-ready-data-puts-ai-projects-at-risk</t>
  </si>
  <si>
    <t xml:space="preserve">Argues for the Hub's data-product discovery: reusing governed, AI-ready data products de-risks the #1 failure cause.</t>
  </si>
  <si>
    <t xml:space="preserve">Supporting (governance/data narrative)</t>
  </si>
  <si>
    <t xml:space="preserve">Safe to cite — public press release.</t>
  </si>
  <si>
    <t xml:space="preserve">R7</t>
  </si>
  <si>
    <t xml:space="preserve">Over 40% of agentic AI projects will be canceled by end of 2027, due to escalating costs, unclear business value or inadequate risk controls; only ~130 of thousands of 'agentic AI' vendors are real ('agent washing').</t>
  </si>
  <si>
    <t xml:space="preserve">&gt;40% agentic projects canceled by 2027</t>
  </si>
  <si>
    <t xml:space="preserve">Gartner press release, 25 Jun 2025 (analyst Anushree Verma); Reuters coverage</t>
  </si>
  <si>
    <t xml:space="preserve">https://www.gartner.com/en/newsroom/press-releases/2025-06-25-gartner-predicts-over-40-percent-of-agentic-ai-projects-will-be-canceled-by-end-of-2027</t>
  </si>
  <si>
    <t xml:space="preserve">The Hub's agent-skill reuse and governance is the counter to exactly these cancellation causes.</t>
  </si>
  <si>
    <t xml:space="preserve">Supporting (agentic AI narrative)</t>
  </si>
  <si>
    <t xml:space="preserve">R8</t>
  </si>
  <si>
    <t xml:space="preserve">Gartner predicts at least 15% of day-to-day work decisions will be made autonomously through agentic AI by 2028 (from 0% in 2024), and 33% of enterprise software applications will include agentic AI by 2028 (from &lt;1% in 2024).</t>
  </si>
  <si>
    <t xml:space="preserve">15% of decisions autonomous; 33% of apps agentic by 2028</t>
  </si>
  <si>
    <t xml:space="preserve">Gartner press release, 25 Jun 2025</t>
  </si>
  <si>
    <t xml:space="preserve">Why-now evidence: agent skills will multiply fast — catalogue them from day one or fragment permanently.</t>
  </si>
  <si>
    <t xml:space="preserve">Supporting (why now)</t>
  </si>
  <si>
    <t xml:space="preserve">Predictions; use as directional.</t>
  </si>
  <si>
    <t xml:space="preserve">R9</t>
  </si>
  <si>
    <t xml:space="preserve">~95% of generative AI pilots deliver no measurable P&amp;L impact.</t>
  </si>
  <si>
    <t xml:space="preserve">~95% of GenAI pilots: zero measurable P&amp;L impact</t>
  </si>
  <si>
    <t xml:space="preserve">MIT (Project NANDA)</t>
  </si>
  <si>
    <t xml:space="preserve">MIT Project NANDA study, Jul 2025</t>
  </si>
  <si>
    <t xml:space="preserve">https://www.pertamapartners.com/insights/ai-project-failure-statistics-2026  |  https://sranalytics.io/blog/why-95-of-ai-projects-fail/</t>
  </si>
  <si>
    <t xml:space="preserve">Value comes from production-grade, governed, reused capability — not pilot sprawl.</t>
  </si>
  <si>
    <t xml:space="preserve">Widely cited but contested methodology; use with care and cite the original study if used formally.</t>
  </si>
  <si>
    <t xml:space="preserve">R10</t>
  </si>
  <si>
    <t xml:space="preserve">IDC describes the last 18 months as the 'GenAI scramble': scattered, fragmented and sometimes redundant applications launched by business-led initiatives without central oversight; 'every new initiative starts from scratch instead of building on shared infrastructure'; governance becomes impossible because companies cannot govern what they cannot see.</t>
  </si>
  <si>
    <t xml:space="preserve">Qualitative: 'fragmented and sometimes redundant'</t>
  </si>
  <si>
    <t xml:space="preserve">IDC (via CIO)</t>
  </si>
  <si>
    <t xml:space="preserve">CIO.com, 'AI sprawl: why your productivity trap is about to get expensive', May 2026</t>
  </si>
  <si>
    <t xml:space="preserve">https://www.cio.com/article/4168466/ai-sprawl-why-your-productivity-trap-is-about-to-get-expensive.html</t>
  </si>
  <si>
    <t xml:space="preserve">The closest analyst description of the exact problem the Hub solves — duplication and starting from scratch.</t>
  </si>
  <si>
    <t xml:space="preserve">Slide 3 (closing line)</t>
  </si>
  <si>
    <t xml:space="preserve">Analyst characterisation, not a quantified stat; that absence is itself a talking point.</t>
  </si>
  <si>
    <t xml:space="preserve">R11</t>
  </si>
  <si>
    <t xml:space="preserve">69% of leaders say switching between core work tools and AI tools causes workflow friction; 33% say AI is actively contributing to silos and fragmentation.</t>
  </si>
  <si>
    <t xml:space="preserve">69% friction; 33% AI adds fragmentation</t>
  </si>
  <si>
    <t xml:space="preserve">Forrester (study commissioned by Miro)</t>
  </si>
  <si>
    <t xml:space="preserve">Forrester study via Miro blog, Dec 2025</t>
  </si>
  <si>
    <t xml:space="preserve">VENDOR</t>
  </si>
  <si>
    <t xml:space="preserve">https://miro.com/blog/what-is-ai-sprawl/</t>
  </si>
  <si>
    <t xml:space="preserve">Fragmentation evidence from the leader's seat — supports the 'one front door' positioning.</t>
  </si>
  <si>
    <t xml:space="preserve">Vendor-commissioned; treat directionally, do not headline.</t>
  </si>
  <si>
    <t xml:space="preserve">R12</t>
  </si>
  <si>
    <t xml:space="preserve">Forrester: AI sprawl emerges from formal initiatives, unsanctioned employee usage, and AI features embedded by default in existing software — creating 'a fundamental inventory problem'.</t>
  </si>
  <si>
    <t xml:space="preserve">Qualitative: AI inventory problem</t>
  </si>
  <si>
    <t xml:space="preserve">Forrester (analyst Alla Valente, via Computerworld)</t>
  </si>
  <si>
    <t xml:space="preserve">Computerworld, May 2026</t>
  </si>
  <si>
    <t xml:space="preserve">https://www.computerworld.com/article/4166728/5-ways-to-curb-ai-sprawl-without-stifling-innovation.html</t>
  </si>
  <si>
    <t xml:space="preserve">Direct analyst support for a living, central AI inventory — the Hub's foundation capability.</t>
  </si>
  <si>
    <t xml:space="preserve">Supporting (inventory/governance)</t>
  </si>
  <si>
    <t xml:space="preserve">Analyst quote in trade press.</t>
  </si>
  <si>
    <t xml:space="preserve">R13</t>
  </si>
  <si>
    <t xml:space="preserve">Only 28% of AI infrastructure (I&amp;O) projects deliver the promised return; one in five fails outright; 57% of I&amp;O leaders report at least one failure.</t>
  </si>
  <si>
    <t xml:space="preserve">28% deliver ROI; 20% outright failure; 57% leaders report failures</t>
  </si>
  <si>
    <t xml:space="preserve">Gartner press release, 7 Apr 2026 ('AI Projects in I&amp;O Stall Ahead of Meaningful ROI Returns')</t>
  </si>
  <si>
    <t xml:space="preserve">https://www.gartner.com/en/newsroom/press-releases/2026-04-07-gartner-says-artificial-intelligence-projects-in-infrastructure-and-operations-stall-ahead-of-meaningful-roi-returns</t>
  </si>
  <si>
    <t xml:space="preserve">Reinforces that shared, proven infrastructure patterns (architecture library) beat per-team improvisation.</t>
  </si>
  <si>
    <t xml:space="preserve">I&amp;O-scoped, not all AI projects — scope carefully when quoting.</t>
  </si>
  <si>
    <t xml:space="preserve">R14</t>
  </si>
  <si>
    <t xml:space="preserve">Gartner predicts that by 2027, 80% of AI-generated business applications will be 80% composable, supporting engineering and business agility (composable modularity / reuse of packaged business capabilities).</t>
  </si>
  <si>
    <t xml:space="preserve">80% of AI-generated apps 80% composable by 2027</t>
  </si>
  <si>
    <t xml:space="preserve">Gartner (via secondary)</t>
  </si>
  <si>
    <t xml:space="preserve">Gartner 'Composable Modularity Shapes the New Digital Foundation', cited by Mia-Platform, Mar 2026</t>
  </si>
  <si>
    <t xml:space="preserve">https://mia-platform.eu/blog/composable-enterprise/</t>
  </si>
  <si>
    <t xml:space="preserve">Industry direction is composition-and-reuse — the Hub operationalises it for AI assets.</t>
  </si>
  <si>
    <t xml:space="preserve">Verify exact wording against the Gartner report before quoting formally.</t>
  </si>
  <si>
    <t xml:space="preserve">R15</t>
  </si>
  <si>
    <t xml:space="preserve">Nearly 60% of employees use unapproved AI tools at work (shadow AI).</t>
  </si>
  <si>
    <t xml:space="preserve">~60% employees use unapproved AI</t>
  </si>
  <si>
    <t xml:space="preserve">Cybernews survey (via CIO)</t>
  </si>
  <si>
    <t xml:space="preserve">CIO.com, 'Shedding light on shadow AI', Dec 2025</t>
  </si>
  <si>
    <t xml:space="preserve">https://www.cio.com/article/4107318/shedding-light-on-shadow-ai.html</t>
  </si>
  <si>
    <t xml:space="preserve">Shadow AI = invisible duplication and risk; a low-friction central front door reduces the incentive to go around.</t>
  </si>
  <si>
    <t xml:space="preserve">Survey methodology not examined; directional only.</t>
  </si>
  <si>
    <t xml:space="preserve">R16</t>
  </si>
  <si>
    <t xml:space="preserve">Official HSBC brand palette: Red #DB0011, White #FFFFFF, Black #000000 (Pantone 485C for red).</t>
  </si>
  <si>
    <t xml:space="preserve">HSBC Red = #DB0011</t>
  </si>
  <si>
    <t xml:space="preserve">Brand reference sites (BrandPalettes; colorxs)</t>
  </si>
  <si>
    <t xml:space="preserve">Brand color references, checked Jul 2026</t>
  </si>
  <si>
    <t xml:space="preserve">https://brandpalettes.com/hsbc-colors/</t>
  </si>
  <si>
    <t xml:space="preserve">Used for deck styling.</t>
  </si>
  <si>
    <t xml:space="preserve">Deck-wide (design)</t>
  </si>
  <si>
    <t xml:space="preserve">Cross-checked across three sources; confirm against internal brand guidelines (create.hsbc) before external use.</t>
  </si>
  <si>
    <t xml:space="preserve">Duplication &amp; Sprawl — the specific evidence trail</t>
  </si>
  <si>
    <t xml:space="preserve">What research says about the exact problem the Hub addresses, and the crucial gap in it.</t>
  </si>
  <si>
    <t xml:space="preserve">Theme</t>
  </si>
  <si>
    <t xml:space="preserve">What the research says</t>
  </si>
  <si>
    <t xml:space="preserve">Source (register ID)</t>
  </si>
  <si>
    <t xml:space="preserve">Implication for the AI Playbook Hub</t>
  </si>
  <si>
    <t xml:space="preserve">Redundant initiatives exist</t>
  </si>
  <si>
    <t xml:space="preserve">IDC characterises enterprise GenAI as 'scattered, fragmented and sometimes redundant applications launched by business-led initiatives without central oversight'.</t>
  </si>
  <si>
    <t xml:space="preserve">Direct analyst validation that duplicate AI builds are a recognised enterprise pattern.</t>
  </si>
  <si>
    <t xml:space="preserve">Starting from scratch is the norm</t>
  </si>
  <si>
    <t xml:space="preserve">'Every new initiative starts from scratch instead of building on shared infrastructure' (IDC via CIO).</t>
  </si>
  <si>
    <t xml:space="preserve">The Hub's search-first + reuse workflow is the precise counter-pattern.</t>
  </si>
  <si>
    <t xml:space="preserve">Sprawl creates an inventory problem</t>
  </si>
  <si>
    <t xml:space="preserve">Forrester: AI enters via formal projects, shadow usage and embedded vendor features, creating 'a fundamental inventory problem'.</t>
  </si>
  <si>
    <t xml:space="preserve">A living inventory (the Hub's live foundation) is the analyst-recommended response.</t>
  </si>
  <si>
    <t xml:space="preserve">Fragmentation felt by leaders</t>
  </si>
  <si>
    <t xml:space="preserve">33% of leaders say AI is actively contributing to silos and fragmentation (Forrester/Miro).</t>
  </si>
  <si>
    <t xml:space="preserve">Fragmentation is already a leadership-level pain, not just an engineering complaint.</t>
  </si>
  <si>
    <t xml:space="preserve">Shadow AI multiplies invisibly</t>
  </si>
  <si>
    <t xml:space="preserve">~60% of employees use unapproved AI tools; assessment frameworks explicitly screen for 'duplication of effort' as a standard risk category (CIO).</t>
  </si>
  <si>
    <t xml:space="preserve">Duplicate-checking at intake is emerging governance practice — the Hub automates it.</t>
  </si>
  <si>
    <t xml:space="preserve">Waste is quantified, duplication is not</t>
  </si>
  <si>
    <t xml:space="preserve">Failure and abandonment are measured extensively (30%+ post-PoC, 42% of initiatives, 80%+ failure, ~46% of PoCs) — but NO published study sizes duplication directly.</t>
  </si>
  <si>
    <t xml:space="preserve">R1, R4, R5</t>
  </si>
  <si>
    <t xml:space="preserve">THE key insight: firms cannot measure duplication because they cannot see it. The Hub gives HSBC that number — a capability the market research itself proves is missing.</t>
  </si>
  <si>
    <t xml:space="preserve">Gaps, caveats &amp; attribution notes</t>
  </si>
  <si>
    <t xml:space="preserve">What the evidence does NOT establish, and how to use it responsibly.</t>
  </si>
  <si>
    <t xml:space="preserve">#</t>
  </si>
  <si>
    <t xml:space="preserve">Gap / caveat</t>
  </si>
  <si>
    <t xml:space="preserve">Detail</t>
  </si>
  <si>
    <t xml:space="preserve">Recommended handling</t>
  </si>
  <si>
    <t xml:space="preserve">G1</t>
  </si>
  <si>
    <t xml:space="preserve">No direct duplication statistic exists</t>
  </si>
  <si>
    <t xml:space="preserve">Extensive searching (Gartner, IDC, Forrester, S&amp;P, RAND, MIT) found no published figure for '% of enterprise AI initiatives that duplicate existing work'. Duplication is described qualitatively only.</t>
  </si>
  <si>
    <t xml:space="preserve">Do not invent or borrow a percentage. Present the gap as the argument: 'no firm can measure its own duplication — the Hub makes HSBC one that can'. Once live, publish HSBC's own duplication rate as a first-of-kind metric.</t>
  </si>
  <si>
    <t xml:space="preserve">G2</t>
  </si>
  <si>
    <t xml:space="preserve">Earlier deck placeholders were unsourced</t>
  </si>
  <si>
    <t xml:space="preserve">The ~15% duplication share and ~800 hrs/build figures used in earlier deck drafts were constructed placeholders, not research findings. They have been removed from the final deck.</t>
  </si>
  <si>
    <t xml:space="preserve">Never reintroduce without an internal HSBC measurement behind them. The Hub's duplicate-detection pilot can generate the real figures.</t>
  </si>
  <si>
    <t xml:space="preserve">G3</t>
  </si>
  <si>
    <t xml:space="preserve">Failure ≠ duplication</t>
  </si>
  <si>
    <t xml:space="preserve">Abandonment/failure stats (R1, R4, R5, R9) measure projects that did not succeed — not projects that repeated existing work. Related but distinct.</t>
  </si>
  <si>
    <t xml:space="preserve">Use failure stats to size waste and risk in the AI portfolio generally; attribute duplication qualitatively (R10) until HSBC data exists.</t>
  </si>
  <si>
    <t xml:space="preserve">G4</t>
  </si>
  <si>
    <t xml:space="preserve">Some findings reached via secondary sources</t>
  </si>
  <si>
    <t xml:space="preserve">S&amp;P Global (R4), RAND (R5), MIT NANDA (R9) and the Gartner composable prediction (R14) were verified via reputable secondary reporting, not the original documents.</t>
  </si>
  <si>
    <t xml:space="preserve">Before formal/board circulation, pull the original reports (S&amp;P VotE 2025; RAND meta-analysis; MIT NANDA; Gartner composable-modularity report) via HSBC's research subscriptions.</t>
  </si>
  <si>
    <t xml:space="preserve">G5</t>
  </si>
  <si>
    <t xml:space="preserve">Gartner attribution &amp; licensing</t>
  </si>
  <si>
    <t xml:space="preserve">Gartner press releases are public and safely citable. Figures from subscription reports (e.g. R14) and any reuse of Gartner charts are subject to Gartner's attribution/quote policy.</t>
  </si>
  <si>
    <t xml:space="preserve">Route the final deck past whoever owns HSBC's Gartner relationship; follow Gartner's public attribution guide for wording ('according to Gartner' + report name + date).</t>
  </si>
  <si>
    <t xml:space="preserve">G6</t>
  </si>
  <si>
    <t xml:space="preserve">Predictions vs observations</t>
  </si>
  <si>
    <t xml:space="preserve">Several headline numbers are forward-looking predictions (R1, R7, R8, R14), not measured outcomes.</t>
  </si>
  <si>
    <t xml:space="preserve">Speak of them as 'Gartner predicts…' rather than as established fact; pair each with an observed stat (R4, R13) where possible.</t>
  </si>
  <si>
    <t xml:space="preserve">G7</t>
  </si>
  <si>
    <t xml:space="preserve">Vendor-commissioned data</t>
  </si>
  <si>
    <t xml:space="preserve">R11 (Forrester/Miro) is vendor-commissioned; R15's survey methodology was not examined.</t>
  </si>
  <si>
    <t xml:space="preserve">Use as directional colour only; never as a headline statistic in front of leadership.</t>
  </si>
  <si>
    <t xml:space="preserve">Deck mapping &amp; suggested spoken lines</t>
  </si>
  <si>
    <t xml:space="preserve">Where each finding lands in the AI Playbook Hub deck, and how to say it out loud.</t>
  </si>
  <si>
    <t xml:space="preserve">Deck slide</t>
  </si>
  <si>
    <t xml:space="preserve">Finding used (register ID)</t>
  </si>
  <si>
    <t xml:space="preserve">On-slide text</t>
  </si>
  <si>
    <t xml:space="preserve">Suggested spoken line</t>
  </si>
  <si>
    <t xml:space="preserve">3 — The Enterprise Problem (stat panel)</t>
  </si>
  <si>
    <t xml:space="preserve">30%+ of GenAI projects are abandoned after proof of concept — escalating costs, poor data, unclear value (Gartner, 2024)</t>
  </si>
  <si>
    <t xml:space="preserve">'Gartner predicts at least three in ten GenAI projects die after proof of concept — and the causes they name are exactly what reuse removes: cost, data quality and unclear value.'</t>
  </si>
  <si>
    <t xml:space="preserve">42% of enterprises abandoned most of their AI initiatives in 2025 — up from 17% a year earlier (S&amp;P Global, 2025)</t>
  </si>
  <si>
    <t xml:space="preserve">'S&amp;P surveyed over a thousand enterprises: the share abandoning most of their AI initiatives more than doubled in a year. Waste is compounding, not shrinking.'</t>
  </si>
  <si>
    <t xml:space="preserve">$5–20m — Gartner's cost range per GenAI deployment approach — the spend at stake in every redundant or failed build (Gartner, 2024)</t>
  </si>
  <si>
    <t xml:space="preserve">'Gartner puts serious GenAI deployments at five to twenty million dollars each. At those stakes, even one prevented duplicate pays for a lot of platform.'</t>
  </si>
  <si>
    <t xml:space="preserve">3 — The Enterprise Problem (closing line)</t>
  </si>
  <si>
    <t xml:space="preserve">Analysts describe today's enterprise AI as 'fragmented and sometimes redundant' (IDC) — yet no firm can measure its own duplication. The Hub makes HSBC one that can.</t>
  </si>
  <si>
    <t xml:space="preserve">'Here is the interesting part: IDC calls enterprise AI fragmented and sometimes redundant — but nobody publishes a duplication rate, because no firm can see its own. The Hub makes us one of the first that can.'</t>
  </si>
  <si>
    <t xml:space="preserve">3 — Speaker notes (backup)</t>
  </si>
  <si>
    <t xml:space="preserve">R5, R6, R9, R13</t>
  </si>
  <si>
    <t xml:space="preserve">(not on slide)</t>
  </si>
  <si>
    <t xml:space="preserve">If challenged on severity: RAND's meta-analysis has 80%+ of AI projects failing — twice the non-AI rate; Gartner expects 60% of AI projects without AI-ready data to be abandoned through 2026.</t>
  </si>
  <si>
    <t xml:space="preserve">6 — Platform Ecosystem / governance narrative</t>
  </si>
  <si>
    <t xml:space="preserve">R6, R12</t>
  </si>
  <si>
    <t xml:space="preserve">(verbal support)</t>
  </si>
  <si>
    <t xml:space="preserve">'Gartner ties 60% of AI abandonment to data that isn't AI-ready, and Forrester calls AI sprawl a fundamental inventory problem — the Hub is both the AI-ready data front door and the living inventory.'</t>
  </si>
  <si>
    <t xml:space="preserve">7 — Roadmap (why the adoption foundation matters)</t>
  </si>
  <si>
    <t xml:space="preserve">R7, R8</t>
  </si>
  <si>
    <t xml:space="preserve">'Gartner expects a third of enterprise software to be agentic by 2028 — and 40% of agentic projects to be canceled for cost, value and risk reasons. Cataloguing and governing agent skills from day one is how we end up on the right side of both numbers.'</t>
  </si>
  <si>
    <t xml:space="preserve">8 — The Ask (central adoption)</t>
  </si>
  <si>
    <t xml:space="preserve">R10, R12, R15</t>
  </si>
  <si>
    <t xml:space="preserve">'Sprawl doesn't respect organisational boundaries — shadow AI and embedded vendor features appear everywhere. That is why the Hub only fully works adopted centrally, as one front door for all of HSBC.'</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</si>
</sst>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DB0011"/>
      <name val="Arial"/>
      <family val="0"/>
      <charset val="1"/>
    </font>
    <font>
      <i val="true"/>
      <sz val="10"/>
      <color rgb="FF5A6072"/>
      <name val="Arial"/>
      <family val="0"/>
      <charset val="1"/>
    </font>
    <font>
      <b val="true"/>
      <sz val="10"/>
      <color rgb="FF1A1A1A"/>
      <name val="Arial"/>
      <family val="0"/>
      <charset val="1"/>
    </font>
    <font>
      <sz val="10"/>
      <color rgb="FF1A1A1A"/>
      <name val="Arial"/>
      <family val="0"/>
      <charset val="1"/>
    </font>
    <font>
      <b val="true"/>
      <sz val="10"/>
      <color rgb="FFFFFFFF"/>
      <name val="Arial"/>
      <family val="0"/>
      <charset val="1"/>
    </font>
    <font>
      <b val="true"/>
      <sz val="10"/>
      <color rgb="FFDB0011"/>
      <name val="Arial"/>
      <family val="0"/>
      <charset val="1"/>
    </font>
    <font>
      <b val="true"/>
      <sz val="10"/>
      <color rgb="FF5A6072"/>
      <name val="Arial"/>
      <family val="0"/>
      <charset val="1"/>
    </font>
  </fonts>
  <fills count="4">
    <fill>
      <patternFill patternType="none"/>
    </fill>
    <fill>
      <patternFill patternType="gray125"/>
    </fill>
    <fill>
      <patternFill patternType="solid">
        <fgColor rgb="FFDB0011"/>
        <bgColor rgb="FF800000"/>
      </patternFill>
    </fill>
    <fill>
      <patternFill patternType="solid">
        <fgColor rgb="FFFDF0F1"/>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B0011"/>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0F1"/>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072"/>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20"/>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c r="B3" s="5"/>
    </row>
    <row r="4" customFormat="false" ht="57.75" hidden="false" customHeight="true" outlineLevel="0" collapsed="false">
      <c r="A4" s="4" t="s">
        <v>2</v>
      </c>
      <c r="B4" s="5" t="s">
        <v>3</v>
      </c>
    </row>
    <row r="5" customFormat="false" ht="57.75" hidden="false" customHeight="true" outlineLevel="0" collapsed="false">
      <c r="A5" s="4" t="s">
        <v>4</v>
      </c>
      <c r="B5" s="5" t="s">
        <v>5</v>
      </c>
    </row>
    <row r="6" customFormat="false" ht="57.75" hidden="false" customHeight="true" outlineLevel="0" collapsed="false">
      <c r="A6" s="4" t="s">
        <v>6</v>
      </c>
      <c r="B6" s="5" t="s">
        <v>7</v>
      </c>
    </row>
    <row r="7" customFormat="false" ht="57.75" hidden="false" customHeight="true" outlineLevel="0" collapsed="false">
      <c r="A7" s="4" t="s">
        <v>8</v>
      </c>
      <c r="B7" s="5" t="s">
        <v>9</v>
      </c>
    </row>
    <row r="8" customFormat="false" ht="15" hidden="false" customHeight="true" outlineLevel="0" collapsed="false">
      <c r="A8" s="4"/>
      <c r="B8" s="5"/>
    </row>
    <row r="9" customFormat="false" ht="15" hidden="false" customHeight="true" outlineLevel="0" collapsed="false">
      <c r="A9" s="4" t="s">
        <v>10</v>
      </c>
      <c r="B9" s="5" t="n">
        <f aca="false">COUNTA('Research Register'!A4:A100)</f>
        <v>16</v>
      </c>
    </row>
    <row r="10" customFormat="false" ht="15" hidden="false" customHeight="true" outlineLevel="0" collapsed="false">
      <c r="A10" s="4" t="s">
        <v>11</v>
      </c>
      <c r="B10" s="5" t="n">
        <f aca="false">COUNTIF('Research Register'!F4:F100,"PRIMARY*")</f>
        <v>7</v>
      </c>
    </row>
    <row r="11" customFormat="false" ht="15" hidden="false" customHeight="true" outlineLevel="0" collapsed="false">
      <c r="A11" s="4" t="s">
        <v>12</v>
      </c>
      <c r="B11" s="5" t="n">
        <f aca="false">COUNTIF('Research Register'!I4:I100,"&lt;&gt;"&amp;"")-COUNTIF('Research Register'!I4:I100,"—")</f>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8"/>
    <col collapsed="false" customWidth="true" hidden="false" outlineLevel="0" max="3" min="3" style="1" width="26"/>
    <col collapsed="false" customWidth="true" hidden="false" outlineLevel="0" max="4" min="4" style="1" width="22"/>
    <col collapsed="false" customWidth="true" hidden="false" outlineLevel="0" max="5" min="5" style="1" width="30"/>
    <col collapsed="false" customWidth="true" hidden="false" outlineLevel="0" max="6" min="6" style="1" width="16"/>
    <col collapsed="false" customWidth="true" hidden="false" outlineLevel="0" max="7" min="7" style="1" width="46"/>
    <col collapsed="false" customWidth="true" hidden="false" outlineLevel="0" max="8" min="8" style="1" width="40"/>
    <col collapsed="false" customWidth="true" hidden="false" outlineLevel="0" max="9" min="9" style="1" width="20"/>
    <col collapsed="false" customWidth="true" hidden="false" outlineLevel="0" max="10" min="10" style="1" width="34"/>
  </cols>
  <sheetData>
    <row r="1" customFormat="false" ht="19.5" hidden="false" customHeight="true" outlineLevel="0" collapsed="false">
      <c r="A1" s="2" t="s">
        <v>13</v>
      </c>
    </row>
    <row r="2" customFormat="false" ht="15" hidden="false" customHeight="true" outlineLevel="0" collapsed="false">
      <c r="A2" s="3" t="s">
        <v>14</v>
      </c>
    </row>
    <row r="3" customFormat="false" ht="15" hidden="false" customHeight="true" outlineLevel="0" collapsed="false">
      <c r="A3" s="6" t="s">
        <v>15</v>
      </c>
      <c r="B3" s="6" t="s">
        <v>16</v>
      </c>
      <c r="C3" s="6" t="s">
        <v>17</v>
      </c>
      <c r="D3" s="6" t="s">
        <v>18</v>
      </c>
      <c r="E3" s="6" t="s">
        <v>19</v>
      </c>
      <c r="F3" s="6" t="s">
        <v>20</v>
      </c>
      <c r="G3" s="6" t="s">
        <v>21</v>
      </c>
      <c r="H3" s="6" t="s">
        <v>22</v>
      </c>
      <c r="I3" s="6" t="s">
        <v>23</v>
      </c>
      <c r="J3" s="6" t="s">
        <v>24</v>
      </c>
    </row>
    <row r="4" customFormat="false" ht="78" hidden="false" customHeight="true" outlineLevel="0" collapsed="false">
      <c r="A4" s="7" t="s">
        <v>25</v>
      </c>
      <c r="B4" s="8" t="s">
        <v>26</v>
      </c>
      <c r="C4" s="8" t="s">
        <v>27</v>
      </c>
      <c r="D4" s="8" t="s">
        <v>28</v>
      </c>
      <c r="E4" s="8" t="s">
        <v>29</v>
      </c>
      <c r="F4" s="9" t="s">
        <v>30</v>
      </c>
      <c r="G4" s="8" t="s">
        <v>31</v>
      </c>
      <c r="H4" s="8" t="s">
        <v>32</v>
      </c>
      <c r="I4" s="8" t="s">
        <v>33</v>
      </c>
      <c r="J4" s="8" t="s">
        <v>34</v>
      </c>
    </row>
    <row r="5" customFormat="false" ht="78" hidden="false" customHeight="true" outlineLevel="0" collapsed="false">
      <c r="A5" s="10" t="s">
        <v>35</v>
      </c>
      <c r="B5" s="11" t="s">
        <v>36</v>
      </c>
      <c r="C5" s="11" t="s">
        <v>37</v>
      </c>
      <c r="D5" s="11" t="s">
        <v>28</v>
      </c>
      <c r="E5" s="11" t="s">
        <v>38</v>
      </c>
      <c r="F5" s="12" t="s">
        <v>30</v>
      </c>
      <c r="G5" s="11" t="s">
        <v>31</v>
      </c>
      <c r="H5" s="11" t="s">
        <v>39</v>
      </c>
      <c r="I5" s="11" t="s">
        <v>33</v>
      </c>
      <c r="J5" s="11" t="s">
        <v>40</v>
      </c>
    </row>
    <row r="6" customFormat="false" ht="78" hidden="false" customHeight="true" outlineLevel="0" collapsed="false">
      <c r="A6" s="7" t="s">
        <v>41</v>
      </c>
      <c r="B6" s="8" t="s">
        <v>42</v>
      </c>
      <c r="C6" s="8" t="s">
        <v>43</v>
      </c>
      <c r="D6" s="8" t="s">
        <v>28</v>
      </c>
      <c r="E6" s="8" t="s">
        <v>44</v>
      </c>
      <c r="F6" s="9" t="s">
        <v>45</v>
      </c>
      <c r="G6" s="8" t="s">
        <v>31</v>
      </c>
      <c r="H6" s="8" t="s">
        <v>46</v>
      </c>
      <c r="I6" s="8" t="s">
        <v>47</v>
      </c>
      <c r="J6" s="8" t="s">
        <v>48</v>
      </c>
    </row>
    <row r="7" customFormat="false" ht="78" hidden="false" customHeight="true" outlineLevel="0" collapsed="false">
      <c r="A7" s="10" t="s">
        <v>49</v>
      </c>
      <c r="B7" s="11" t="s">
        <v>50</v>
      </c>
      <c r="C7" s="11" t="s">
        <v>51</v>
      </c>
      <c r="D7" s="11" t="s">
        <v>52</v>
      </c>
      <c r="E7" s="11" t="s">
        <v>53</v>
      </c>
      <c r="F7" s="13" t="s">
        <v>54</v>
      </c>
      <c r="G7" s="11" t="s">
        <v>55</v>
      </c>
      <c r="H7" s="11" t="s">
        <v>56</v>
      </c>
      <c r="I7" s="11" t="s">
        <v>33</v>
      </c>
      <c r="J7" s="11" t="s">
        <v>57</v>
      </c>
    </row>
    <row r="8" customFormat="false" ht="78" hidden="false" customHeight="true" outlineLevel="0" collapsed="false">
      <c r="A8" s="7" t="s">
        <v>58</v>
      </c>
      <c r="B8" s="8" t="s">
        <v>59</v>
      </c>
      <c r="C8" s="8" t="s">
        <v>60</v>
      </c>
      <c r="D8" s="8" t="s">
        <v>61</v>
      </c>
      <c r="E8" s="8" t="s">
        <v>62</v>
      </c>
      <c r="F8" s="14" t="s">
        <v>63</v>
      </c>
      <c r="G8" s="8" t="s">
        <v>64</v>
      </c>
      <c r="H8" s="8" t="s">
        <v>65</v>
      </c>
      <c r="I8" s="8" t="s">
        <v>66</v>
      </c>
      <c r="J8" s="8" t="s">
        <v>67</v>
      </c>
    </row>
    <row r="9" customFormat="false" ht="78" hidden="false" customHeight="true" outlineLevel="0" collapsed="false">
      <c r="A9" s="10" t="s">
        <v>68</v>
      </c>
      <c r="B9" s="11" t="s">
        <v>69</v>
      </c>
      <c r="C9" s="11" t="s">
        <v>70</v>
      </c>
      <c r="D9" s="11" t="s">
        <v>28</v>
      </c>
      <c r="E9" s="11" t="s">
        <v>71</v>
      </c>
      <c r="F9" s="12" t="s">
        <v>30</v>
      </c>
      <c r="G9" s="11" t="s">
        <v>72</v>
      </c>
      <c r="H9" s="11" t="s">
        <v>73</v>
      </c>
      <c r="I9" s="11" t="s">
        <v>74</v>
      </c>
      <c r="J9" s="11" t="s">
        <v>75</v>
      </c>
    </row>
    <row r="10" customFormat="false" ht="78" hidden="false" customHeight="true" outlineLevel="0" collapsed="false">
      <c r="A10" s="7" t="s">
        <v>76</v>
      </c>
      <c r="B10" s="8" t="s">
        <v>77</v>
      </c>
      <c r="C10" s="8" t="s">
        <v>78</v>
      </c>
      <c r="D10" s="8" t="s">
        <v>28</v>
      </c>
      <c r="E10" s="8" t="s">
        <v>79</v>
      </c>
      <c r="F10" s="9" t="s">
        <v>30</v>
      </c>
      <c r="G10" s="8" t="s">
        <v>80</v>
      </c>
      <c r="H10" s="8" t="s">
        <v>81</v>
      </c>
      <c r="I10" s="8" t="s">
        <v>82</v>
      </c>
      <c r="J10" s="8" t="s">
        <v>75</v>
      </c>
    </row>
    <row r="11" customFormat="false" ht="78" hidden="false" customHeight="true" outlineLevel="0" collapsed="false">
      <c r="A11" s="10" t="s">
        <v>83</v>
      </c>
      <c r="B11" s="11" t="s">
        <v>84</v>
      </c>
      <c r="C11" s="11" t="s">
        <v>85</v>
      </c>
      <c r="D11" s="11" t="s">
        <v>28</v>
      </c>
      <c r="E11" s="11" t="s">
        <v>86</v>
      </c>
      <c r="F11" s="12" t="s">
        <v>30</v>
      </c>
      <c r="G11" s="11" t="s">
        <v>80</v>
      </c>
      <c r="H11" s="11" t="s">
        <v>87</v>
      </c>
      <c r="I11" s="11" t="s">
        <v>88</v>
      </c>
      <c r="J11" s="11" t="s">
        <v>89</v>
      </c>
    </row>
    <row r="12" customFormat="false" ht="78" hidden="false" customHeight="true" outlineLevel="0" collapsed="false">
      <c r="A12" s="7" t="s">
        <v>90</v>
      </c>
      <c r="B12" s="8" t="s">
        <v>91</v>
      </c>
      <c r="C12" s="8" t="s">
        <v>92</v>
      </c>
      <c r="D12" s="8" t="s">
        <v>93</v>
      </c>
      <c r="E12" s="8" t="s">
        <v>94</v>
      </c>
      <c r="F12" s="14" t="s">
        <v>63</v>
      </c>
      <c r="G12" s="8" t="s">
        <v>95</v>
      </c>
      <c r="H12" s="8" t="s">
        <v>96</v>
      </c>
      <c r="I12" s="8" t="s">
        <v>47</v>
      </c>
      <c r="J12" s="8" t="s">
        <v>97</v>
      </c>
    </row>
    <row r="13" customFormat="false" ht="78" hidden="false" customHeight="true" outlineLevel="0" collapsed="false">
      <c r="A13" s="10" t="s">
        <v>98</v>
      </c>
      <c r="B13" s="11" t="s">
        <v>99</v>
      </c>
      <c r="C13" s="11" t="s">
        <v>100</v>
      </c>
      <c r="D13" s="11" t="s">
        <v>101</v>
      </c>
      <c r="E13" s="11" t="s">
        <v>102</v>
      </c>
      <c r="F13" s="13" t="s">
        <v>63</v>
      </c>
      <c r="G13" s="11" t="s">
        <v>103</v>
      </c>
      <c r="H13" s="11" t="s">
        <v>104</v>
      </c>
      <c r="I13" s="11" t="s">
        <v>105</v>
      </c>
      <c r="J13" s="11" t="s">
        <v>106</v>
      </c>
    </row>
    <row r="14" customFormat="false" ht="78" hidden="false" customHeight="true" outlineLevel="0" collapsed="false">
      <c r="A14" s="7" t="s">
        <v>107</v>
      </c>
      <c r="B14" s="8" t="s">
        <v>108</v>
      </c>
      <c r="C14" s="8" t="s">
        <v>109</v>
      </c>
      <c r="D14" s="8" t="s">
        <v>110</v>
      </c>
      <c r="E14" s="8" t="s">
        <v>111</v>
      </c>
      <c r="F14" s="14" t="s">
        <v>112</v>
      </c>
      <c r="G14" s="8" t="s">
        <v>113</v>
      </c>
      <c r="H14" s="8" t="s">
        <v>114</v>
      </c>
      <c r="I14" s="8" t="s">
        <v>47</v>
      </c>
      <c r="J14" s="8" t="s">
        <v>115</v>
      </c>
    </row>
    <row r="15" customFormat="false" ht="78" hidden="false" customHeight="true" outlineLevel="0" collapsed="false">
      <c r="A15" s="10" t="s">
        <v>116</v>
      </c>
      <c r="B15" s="11" t="s">
        <v>117</v>
      </c>
      <c r="C15" s="11" t="s">
        <v>118</v>
      </c>
      <c r="D15" s="11" t="s">
        <v>119</v>
      </c>
      <c r="E15" s="11" t="s">
        <v>120</v>
      </c>
      <c r="F15" s="13" t="s">
        <v>63</v>
      </c>
      <c r="G15" s="11" t="s">
        <v>121</v>
      </c>
      <c r="H15" s="11" t="s">
        <v>122</v>
      </c>
      <c r="I15" s="11" t="s">
        <v>123</v>
      </c>
      <c r="J15" s="11" t="s">
        <v>124</v>
      </c>
    </row>
    <row r="16" customFormat="false" ht="78" hidden="false" customHeight="true" outlineLevel="0" collapsed="false">
      <c r="A16" s="7" t="s">
        <v>125</v>
      </c>
      <c r="B16" s="8" t="s">
        <v>126</v>
      </c>
      <c r="C16" s="8" t="s">
        <v>127</v>
      </c>
      <c r="D16" s="8" t="s">
        <v>28</v>
      </c>
      <c r="E16" s="8" t="s">
        <v>128</v>
      </c>
      <c r="F16" s="9" t="s">
        <v>30</v>
      </c>
      <c r="G16" s="8" t="s">
        <v>129</v>
      </c>
      <c r="H16" s="8" t="s">
        <v>130</v>
      </c>
      <c r="I16" s="8" t="s">
        <v>47</v>
      </c>
      <c r="J16" s="8" t="s">
        <v>131</v>
      </c>
    </row>
    <row r="17" customFormat="false" ht="78" hidden="false" customHeight="true" outlineLevel="0" collapsed="false">
      <c r="A17" s="10" t="s">
        <v>132</v>
      </c>
      <c r="B17" s="11" t="s">
        <v>133</v>
      </c>
      <c r="C17" s="11" t="s">
        <v>134</v>
      </c>
      <c r="D17" s="11" t="s">
        <v>135</v>
      </c>
      <c r="E17" s="11" t="s">
        <v>136</v>
      </c>
      <c r="F17" s="13" t="s">
        <v>63</v>
      </c>
      <c r="G17" s="11" t="s">
        <v>137</v>
      </c>
      <c r="H17" s="11" t="s">
        <v>138</v>
      </c>
      <c r="I17" s="11" t="s">
        <v>47</v>
      </c>
      <c r="J17" s="11" t="s">
        <v>139</v>
      </c>
    </row>
    <row r="18" customFormat="false" ht="78" hidden="false" customHeight="true" outlineLevel="0" collapsed="false">
      <c r="A18" s="7" t="s">
        <v>140</v>
      </c>
      <c r="B18" s="8" t="s">
        <v>141</v>
      </c>
      <c r="C18" s="8" t="s">
        <v>142</v>
      </c>
      <c r="D18" s="8" t="s">
        <v>143</v>
      </c>
      <c r="E18" s="8" t="s">
        <v>144</v>
      </c>
      <c r="F18" s="14" t="s">
        <v>63</v>
      </c>
      <c r="G18" s="8" t="s">
        <v>145</v>
      </c>
      <c r="H18" s="8" t="s">
        <v>146</v>
      </c>
      <c r="I18" s="8" t="s">
        <v>47</v>
      </c>
      <c r="J18" s="8" t="s">
        <v>147</v>
      </c>
    </row>
    <row r="19" customFormat="false" ht="78" hidden="false" customHeight="true" outlineLevel="0" collapsed="false">
      <c r="A19" s="10" t="s">
        <v>148</v>
      </c>
      <c r="B19" s="11" t="s">
        <v>149</v>
      </c>
      <c r="C19" s="11" t="s">
        <v>150</v>
      </c>
      <c r="D19" s="11" t="s">
        <v>151</v>
      </c>
      <c r="E19" s="11" t="s">
        <v>152</v>
      </c>
      <c r="F19" s="13" t="s">
        <v>63</v>
      </c>
      <c r="G19" s="11" t="s">
        <v>153</v>
      </c>
      <c r="H19" s="11" t="s">
        <v>154</v>
      </c>
      <c r="I19" s="11" t="s">
        <v>155</v>
      </c>
      <c r="J19" s="11"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6"/>
    <col collapsed="false" customWidth="true" hidden="false" outlineLevel="0" max="3" min="3" style="1" width="18"/>
    <col collapsed="false" customWidth="true" hidden="false" outlineLevel="0" max="4" min="4" style="1" width="56"/>
  </cols>
  <sheetData>
    <row r="1" customFormat="false" ht="19.5" hidden="false" customHeight="true" outlineLevel="0" collapsed="false">
      <c r="A1" s="2" t="s">
        <v>157</v>
      </c>
    </row>
    <row r="2" customFormat="false" ht="15" hidden="false" customHeight="true" outlineLevel="0" collapsed="false">
      <c r="A2" s="3" t="s">
        <v>158</v>
      </c>
    </row>
    <row r="3" customFormat="false" ht="15" hidden="false" customHeight="true" outlineLevel="0" collapsed="false">
      <c r="A3" s="6" t="s">
        <v>159</v>
      </c>
      <c r="B3" s="6" t="s">
        <v>160</v>
      </c>
      <c r="C3" s="6" t="s">
        <v>161</v>
      </c>
      <c r="D3" s="6" t="s">
        <v>162</v>
      </c>
    </row>
    <row r="4" customFormat="false" ht="55.5" hidden="false" customHeight="true" outlineLevel="0" collapsed="false">
      <c r="A4" s="7" t="s">
        <v>163</v>
      </c>
      <c r="B4" s="8" t="s">
        <v>164</v>
      </c>
      <c r="C4" s="8" t="s">
        <v>98</v>
      </c>
      <c r="D4" s="8" t="s">
        <v>165</v>
      </c>
    </row>
    <row r="5" customFormat="false" ht="55.5" hidden="false" customHeight="true" outlineLevel="0" collapsed="false">
      <c r="A5" s="10" t="s">
        <v>166</v>
      </c>
      <c r="B5" s="11" t="s">
        <v>167</v>
      </c>
      <c r="C5" s="11" t="s">
        <v>98</v>
      </c>
      <c r="D5" s="11" t="s">
        <v>168</v>
      </c>
    </row>
    <row r="6" customFormat="false" ht="55.5" hidden="false" customHeight="true" outlineLevel="0" collapsed="false">
      <c r="A6" s="7" t="s">
        <v>169</v>
      </c>
      <c r="B6" s="8" t="s">
        <v>170</v>
      </c>
      <c r="C6" s="8" t="s">
        <v>116</v>
      </c>
      <c r="D6" s="8" t="s">
        <v>171</v>
      </c>
    </row>
    <row r="7" customFormat="false" ht="55.5" hidden="false" customHeight="true" outlineLevel="0" collapsed="false">
      <c r="A7" s="10" t="s">
        <v>172</v>
      </c>
      <c r="B7" s="11" t="s">
        <v>173</v>
      </c>
      <c r="C7" s="11" t="s">
        <v>107</v>
      </c>
      <c r="D7" s="11" t="s">
        <v>174</v>
      </c>
    </row>
    <row r="8" customFormat="false" ht="55.5" hidden="false" customHeight="true" outlineLevel="0" collapsed="false">
      <c r="A8" s="7" t="s">
        <v>175</v>
      </c>
      <c r="B8" s="8" t="s">
        <v>176</v>
      </c>
      <c r="C8" s="8" t="s">
        <v>140</v>
      </c>
      <c r="D8" s="8" t="s">
        <v>177</v>
      </c>
    </row>
    <row r="9" customFormat="false" ht="55.5" hidden="false" customHeight="true" outlineLevel="0" collapsed="false">
      <c r="A9" s="10" t="s">
        <v>178</v>
      </c>
      <c r="B9" s="11" t="s">
        <v>179</v>
      </c>
      <c r="C9" s="11" t="s">
        <v>180</v>
      </c>
      <c r="D9" s="11"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4" min="3" style="1" width="62"/>
  </cols>
  <sheetData>
    <row r="1" customFormat="false" ht="19.5" hidden="false" customHeight="true" outlineLevel="0" collapsed="false">
      <c r="A1" s="2" t="s">
        <v>182</v>
      </c>
    </row>
    <row r="2" customFormat="false" ht="15" hidden="false" customHeight="true" outlineLevel="0" collapsed="false">
      <c r="A2" s="3" t="s">
        <v>183</v>
      </c>
    </row>
    <row r="3" customFormat="false" ht="15" hidden="false" customHeight="true" outlineLevel="0" collapsed="false">
      <c r="A3" s="6" t="s">
        <v>184</v>
      </c>
      <c r="B3" s="6" t="s">
        <v>185</v>
      </c>
      <c r="C3" s="6" t="s">
        <v>186</v>
      </c>
      <c r="D3" s="6" t="s">
        <v>187</v>
      </c>
    </row>
    <row r="4" customFormat="false" ht="61.5" hidden="false" customHeight="true" outlineLevel="0" collapsed="false">
      <c r="A4" s="7" t="s">
        <v>188</v>
      </c>
      <c r="B4" s="7" t="s">
        <v>189</v>
      </c>
      <c r="C4" s="8" t="s">
        <v>190</v>
      </c>
      <c r="D4" s="8" t="s">
        <v>191</v>
      </c>
    </row>
    <row r="5" customFormat="false" ht="61.5" hidden="false" customHeight="true" outlineLevel="0" collapsed="false">
      <c r="A5" s="10" t="s">
        <v>192</v>
      </c>
      <c r="B5" s="10" t="s">
        <v>193</v>
      </c>
      <c r="C5" s="11" t="s">
        <v>194</v>
      </c>
      <c r="D5" s="11" t="s">
        <v>195</v>
      </c>
    </row>
    <row r="6" customFormat="false" ht="61.5" hidden="false" customHeight="true" outlineLevel="0" collapsed="false">
      <c r="A6" s="7" t="s">
        <v>196</v>
      </c>
      <c r="B6" s="7" t="s">
        <v>197</v>
      </c>
      <c r="C6" s="8" t="s">
        <v>198</v>
      </c>
      <c r="D6" s="8" t="s">
        <v>199</v>
      </c>
    </row>
    <row r="7" customFormat="false" ht="61.5" hidden="false" customHeight="true" outlineLevel="0" collapsed="false">
      <c r="A7" s="10" t="s">
        <v>200</v>
      </c>
      <c r="B7" s="10" t="s">
        <v>201</v>
      </c>
      <c r="C7" s="11" t="s">
        <v>202</v>
      </c>
      <c r="D7" s="11" t="s">
        <v>203</v>
      </c>
    </row>
    <row r="8" customFormat="false" ht="61.5" hidden="false" customHeight="true" outlineLevel="0" collapsed="false">
      <c r="A8" s="7" t="s">
        <v>204</v>
      </c>
      <c r="B8" s="7" t="s">
        <v>205</v>
      </c>
      <c r="C8" s="8" t="s">
        <v>206</v>
      </c>
      <c r="D8" s="8" t="s">
        <v>207</v>
      </c>
    </row>
    <row r="9" customFormat="false" ht="61.5" hidden="false" customHeight="true" outlineLevel="0" collapsed="false">
      <c r="A9" s="10" t="s">
        <v>208</v>
      </c>
      <c r="B9" s="10" t="s">
        <v>209</v>
      </c>
      <c r="C9" s="11" t="s">
        <v>210</v>
      </c>
      <c r="D9" s="11" t="s">
        <v>211</v>
      </c>
    </row>
    <row r="10" customFormat="false" ht="61.5" hidden="false" customHeight="true" outlineLevel="0" collapsed="false">
      <c r="A10" s="7" t="s">
        <v>212</v>
      </c>
      <c r="B10" s="7" t="s">
        <v>213</v>
      </c>
      <c r="C10" s="8" t="s">
        <v>214</v>
      </c>
      <c r="D10" s="8"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0"/>
    <col collapsed="false" customWidth="true" hidden="false" outlineLevel="0" max="3" min="3" style="1" width="52"/>
    <col collapsed="false" customWidth="true" hidden="false" outlineLevel="0" max="4" min="4" style="1" width="62"/>
  </cols>
  <sheetData>
    <row r="1" customFormat="false" ht="19.5" hidden="false" customHeight="true" outlineLevel="0" collapsed="false">
      <c r="A1" s="2" t="s">
        <v>216</v>
      </c>
    </row>
    <row r="2" customFormat="false" ht="15" hidden="false" customHeight="true" outlineLevel="0" collapsed="false">
      <c r="A2" s="3" t="s">
        <v>217</v>
      </c>
    </row>
    <row r="3" customFormat="false" ht="23.25" hidden="false" customHeight="true" outlineLevel="0" collapsed="false">
      <c r="A3" s="6" t="s">
        <v>218</v>
      </c>
      <c r="B3" s="6" t="s">
        <v>219</v>
      </c>
      <c r="C3" s="6" t="s">
        <v>220</v>
      </c>
      <c r="D3" s="6" t="s">
        <v>221</v>
      </c>
    </row>
    <row r="4" customFormat="false" ht="60" hidden="false" customHeight="true" outlineLevel="0" collapsed="false">
      <c r="A4" s="7" t="s">
        <v>222</v>
      </c>
      <c r="B4" s="8" t="s">
        <v>25</v>
      </c>
      <c r="C4" s="8" t="s">
        <v>223</v>
      </c>
      <c r="D4" s="8" t="s">
        <v>224</v>
      </c>
    </row>
    <row r="5" customFormat="false" ht="60" hidden="false" customHeight="true" outlineLevel="0" collapsed="false">
      <c r="A5" s="10" t="s">
        <v>222</v>
      </c>
      <c r="B5" s="11" t="s">
        <v>49</v>
      </c>
      <c r="C5" s="11" t="s">
        <v>225</v>
      </c>
      <c r="D5" s="11" t="s">
        <v>226</v>
      </c>
    </row>
    <row r="6" customFormat="false" ht="60" hidden="false" customHeight="true" outlineLevel="0" collapsed="false">
      <c r="A6" s="7" t="s">
        <v>222</v>
      </c>
      <c r="B6" s="8" t="s">
        <v>35</v>
      </c>
      <c r="C6" s="8" t="s">
        <v>227</v>
      </c>
      <c r="D6" s="8" t="s">
        <v>228</v>
      </c>
    </row>
    <row r="7" customFormat="false" ht="60" hidden="false" customHeight="true" outlineLevel="0" collapsed="false">
      <c r="A7" s="10" t="s">
        <v>229</v>
      </c>
      <c r="B7" s="11" t="s">
        <v>98</v>
      </c>
      <c r="C7" s="11" t="s">
        <v>230</v>
      </c>
      <c r="D7" s="11" t="s">
        <v>231</v>
      </c>
    </row>
    <row r="8" customFormat="false" ht="60" hidden="false" customHeight="true" outlineLevel="0" collapsed="false">
      <c r="A8" s="7" t="s">
        <v>232</v>
      </c>
      <c r="B8" s="8" t="s">
        <v>233</v>
      </c>
      <c r="C8" s="8" t="s">
        <v>234</v>
      </c>
      <c r="D8" s="8" t="s">
        <v>235</v>
      </c>
    </row>
    <row r="9" customFormat="false" ht="60" hidden="false" customHeight="true" outlineLevel="0" collapsed="false">
      <c r="A9" s="10" t="s">
        <v>236</v>
      </c>
      <c r="B9" s="11" t="s">
        <v>237</v>
      </c>
      <c r="C9" s="11" t="s">
        <v>238</v>
      </c>
      <c r="D9" s="11" t="s">
        <v>239</v>
      </c>
    </row>
    <row r="10" customFormat="false" ht="60" hidden="false" customHeight="true" outlineLevel="0" collapsed="false">
      <c r="A10" s="7" t="s">
        <v>240</v>
      </c>
      <c r="B10" s="8" t="s">
        <v>241</v>
      </c>
      <c r="C10" s="8" t="s">
        <v>238</v>
      </c>
      <c r="D10" s="8" t="s">
        <v>242</v>
      </c>
    </row>
    <row r="11" customFormat="false" ht="60" hidden="false" customHeight="true" outlineLevel="0" collapsed="false">
      <c r="A11" s="10" t="s">
        <v>243</v>
      </c>
      <c r="B11" s="11" t="s">
        <v>244</v>
      </c>
      <c r="C11" s="11" t="s">
        <v>238</v>
      </c>
      <c r="D11" s="11" t="s">
        <v>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2026-07-25T09:53:02Z</dcterms:created>
  <dc:creator>openpyxl</dc:creator>
  <dc:description/>
  <dc:language>en-US</dc:language>
  <cp:lastModifiedBy/>
  <dcterms:modified xsi:type="dcterms:W3CDTF">2026-07-25T09:53:26Z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