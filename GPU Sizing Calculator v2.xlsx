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lculator" sheetId="1" state="visible" r:id="rId3"/>
    <sheet name="GPU_Reference" sheetId="2" state="visible" r:id="rId4"/>
    <sheet name="Model_Reference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<sst xmlns="http://schemas.openxmlformats.org/spreadsheetml/2006/main" count="194" uniqueCount="168">
  <si>
    <t xml:space="preserve">  GPU SIZING CALCULATOR  ·  LLM Training Infrastructure Estimator</t>
  </si>
  <si>
    <t xml:space="preserve">  Enter your inputs in the BLUE cells. All other cells calculate automatically.</t>
  </si>
  <si>
    <t xml:space="preserve">■  Blue = Input (you edit these)</t>
  </si>
  <si>
    <t xml:space="preserve">■  Green = Key Result   ■  Black = Formula (auto)</t>
  </si>
  <si>
    <t xml:space="preserve">  SECTION A — DATASET INPUTS</t>
  </si>
  <si>
    <t xml:space="preserve">Parameter</t>
  </si>
  <si>
    <t xml:space="preserve">Your Value</t>
  </si>
  <si>
    <t xml:space="preserve">Notes / Source</t>
  </si>
  <si>
    <t xml:space="preserve">Calculated</t>
  </si>
  <si>
    <t xml:space="preserve">Raw Dataset Size (GB)</t>
  </si>
  <si>
    <t xml:space="preserve">Enter total raw storage in GB  (e.g. 1 TB = 1,024 GB · 1 PB = 1,048,576 GB)</t>
  </si>
  <si>
    <t xml:space="preserve">Deduplication Rate (fraction removed)</t>
  </si>
  <si>
    <t xml:space="preserve">Typical: 30–50% for enterprise data · 50–70% for web/log data</t>
  </si>
  <si>
    <t xml:space="preserve">Quality Filter Rate (fraction removed)</t>
  </si>
  <si>
    <t xml:space="preserve">Typical: 20–35% · Includes language ID, noise, near-duplicates</t>
  </si>
  <si>
    <t xml:space="preserve">Raw Token Estimate</t>
  </si>
  <si>
    <t xml:space="preserve">raw GB × 1,073,741,824 ÷ 4 bytes per token</t>
  </si>
  <si>
    <t xml:space="preserve">✦ Clean Training Tokens</t>
  </si>
  <si>
    <t xml:space="preserve">raw tokens × (1 − dup rate) × (1 − quality rate)  ← KEY INPUT FOR ALL FORMULAS</t>
  </si>
  <si>
    <t xml:space="preserve">Shortcut Estimate</t>
  </si>
  <si>
    <t xml:space="preserve">GB × ~105M (conservative combined rate) — quick sanity check vs cell C13</t>
  </si>
  <si>
    <t xml:space="preserve">  SECTION B — MODEL SELECTION</t>
  </si>
  <si>
    <t xml:space="preserve">Notes</t>
  </si>
  <si>
    <t xml:space="preserve">Model Preset (choose from list)</t>
  </si>
  <si>
    <t xml:space="preserve">70B</t>
  </si>
  <si>
    <t xml:space="preserve">Select preset OR choose 'Custom' and enter parameters directly in B3</t>
  </si>
  <si>
    <t xml:space="preserve">Parameters from Preset (billions)</t>
  </si>
  <si>
    <t xml:space="preserve">Auto-populated from preset. Override by selecting Custom in B1 above.</t>
  </si>
  <si>
    <t xml:space="preserve">Custom Parameter Count (billions)</t>
  </si>
  <si>
    <t xml:space="preserve">Only used when Preset = 'Custom'  (e.g. enter 70 for a 70B model)</t>
  </si>
  <si>
    <t xml:space="preserve">✦ Effective Parameter Count (billions)</t>
  </si>
  <si>
    <t xml:space="preserve">Used for all downstream memory, time and GPU count calculations</t>
  </si>
  <si>
    <t xml:space="preserve">Chinchilla-Optimal Tokens (for this model)</t>
  </si>
  <si>
    <t xml:space="preserve">Params (B) × 20  →  minimum tokens for a well-trained model</t>
  </si>
  <si>
    <t xml:space="preserve">Chinchilla-Optimal Model Size (for your data)</t>
  </si>
  <si>
    <t xml:space="preserve">Clean tokens ÷ 20  →  largest model your data can optimally support</t>
  </si>
  <si>
    <t xml:space="preserve">Dataset Utilisation</t>
  </si>
  <si>
    <t xml:space="preserve">% of your clean tokens used for this training run. Remainder = future capacity.</t>
  </si>
  <si>
    <t xml:space="preserve">Total Training FLOPs</t>
  </si>
  <si>
    <t xml:space="preserve">6 × N (params) × D (tokens) — fundamental compute budget</t>
  </si>
  <si>
    <t xml:space="preserve">  SECTION C — GPU SELECTION</t>
  </si>
  <si>
    <t xml:space="preserve">Spec Value</t>
  </si>
  <si>
    <t xml:space="preserve">GPU Model</t>
  </si>
  <si>
    <t xml:space="preserve">H200 SXM</t>
  </si>
  <si>
    <t xml:space="preserve">Choose GPU type from dropdown — specs auto-populate from GPU_Reference sheet</t>
  </si>
  <si>
    <t xml:space="preserve">VRAM per GPU (GB)</t>
  </si>
  <si>
    <t xml:space="preserve">Auto-populated from GPU_Reference. Override with Custom in cell C33 if needed.</t>
  </si>
  <si>
    <t xml:space="preserve">BF16 Peak TFLOPS</t>
  </si>
  <si>
    <t xml:space="preserve">FP8 Peak TFLOPS</t>
  </si>
  <si>
    <t xml:space="preserve">Model FLOP Utilisation (MFU)</t>
  </si>
  <si>
    <t xml:space="preserve">Typical range: 35–50% for well-optimised runs. Meta LLaMA 3 achieved ~40% on H100 SXM. Measured against DENSE (non-sparsity) peak.</t>
  </si>
  <si>
    <t xml:space="preserve">Effective BF16 TFLOPS (per GPU)</t>
  </si>
  <si>
    <t xml:space="preserve">Peak BF16 × MFU  →  used in training time formula</t>
  </si>
  <si>
    <t xml:space="preserve">Effective FP8 TFLOPS (per GPU)</t>
  </si>
  <si>
    <t xml:space="preserve">Peak FP8 × MFU  →  FP8 halves training time on H200 vs H100</t>
  </si>
  <si>
    <t xml:space="preserve">  SECTION D — TRAINING MEMORY &amp; GPU COUNT</t>
  </si>
  <si>
    <t xml:space="preserve">Value</t>
  </si>
  <si>
    <t xml:space="preserve">Formula / Notes</t>
  </si>
  <si>
    <t xml:space="preserve">Training Memory Required (GB)</t>
  </si>
  <si>
    <t xml:space="preserve">N × 1B × 16 bytes ÷ 1,073,741,824  [2 BF16 + 4 fp32 + 8 Adam + 2 act]</t>
  </si>
  <si>
    <t xml:space="preserve">Tensor Parallel Degree (TP)</t>
  </si>
  <si>
    <t xml:space="preserve">Typically 8 for NVLink nodes (one domain). Reduce to 4 for PCIe GPUs.</t>
  </si>
  <si>
    <t xml:space="preserve">Minimum GPU Count (G_min)</t>
  </si>
  <si>
    <t xml:space="preserve">CEILING(Training Memory ÷ VRAM per GPU, 1)</t>
  </si>
  <si>
    <t xml:space="preserve">✦ Recommended GPU Count (G_rec)</t>
  </si>
  <si>
    <t xml:space="preserve">round_up_to_8(G_min × TP)  →  always in multiples of 8 (NVLink domain boundary)</t>
  </si>
  <si>
    <t xml:space="preserve">Compute Nodes Required (8 GPUs each)</t>
  </si>
  <si>
    <t xml:space="preserve">G_rec ÷ 8  (DGX-class nodes, 8 GPUs per node)</t>
  </si>
  <si>
    <t xml:space="preserve">Aggregate VRAM (cluster total)</t>
  </si>
  <si>
    <t xml:space="preserve">G_rec × VRAM per GPU — total cluster memory capacity</t>
  </si>
  <si>
    <t xml:space="preserve">Data Parallel Replicas (DP)</t>
  </si>
  <si>
    <t xml:space="preserve">G_rec ÷ TP  →  number of identical model copies for data parallelism</t>
  </si>
  <si>
    <t xml:space="preserve">Pipeline Parallel (PP) Hint</t>
  </si>
  <si>
    <t xml:space="preserve">Guideline only — tune PP based on model depth and node count</t>
  </si>
  <si>
    <t xml:space="preserve">  SECTION E — TRAINING TIME</t>
  </si>
  <si>
    <t xml:space="preserve">Metric</t>
  </si>
  <si>
    <t xml:space="preserve">BF16</t>
  </si>
  <si>
    <t xml:space="preserve">FP8</t>
  </si>
  <si>
    <t xml:space="preserve">Training Time (hours)</t>
  </si>
  <si>
    <t xml:space="preserve">FLOPs ÷ (TFLOPS_eff × 10¹² × G_rec × 3,600)</t>
  </si>
  <si>
    <t xml:space="preserve">✦ Training Time (days)</t>
  </si>
  <si>
    <t xml:space="preserve">FP8 ≈ 1.8–2.0× faster than BF16 (H200 native FP8 via TransformerEngine)</t>
  </si>
  <si>
    <t xml:space="preserve">Recommended Checkpoint Interval</t>
  </si>
  <si>
    <t xml:space="preserve">Prevents full restart on node failure. Async checkpointing adds &lt; 5% overhead.</t>
  </si>
  <si>
    <t xml:space="preserve">Network Requirement</t>
  </si>
  <si>
    <t xml:space="preserve">InfiniBand is mandatory above 1 node for pipeline-parallel communication</t>
  </si>
  <si>
    <t xml:space="preserve">  SECTION F — DATA PIPELINE SIZING</t>
  </si>
  <si>
    <t xml:space="preserve">✦ Min Storage Throughput Required</t>
  </si>
  <si>
    <t xml:space="preserve">G_rec × 2 GB/s  →  GPU starvation floor. Provision BEFORE cluster time begins.</t>
  </si>
  <si>
    <t xml:space="preserve">Object Storage Buckets / Containers</t>
  </si>
  <si>
    <t xml:space="preserve">max(8, G_rec ÷ 4)  →  distribute shards across buckets to avoid read hotspots</t>
  </si>
  <si>
    <t xml:space="preserve">Training Data Shards (512 MB each)</t>
  </si>
  <si>
    <t xml:space="preserve">Clean tokens × 4 bytes ÷ 536,870,912 (512 MB)  →  MosaicML MDS or WebDataset shards</t>
  </si>
  <si>
    <t xml:space="preserve">DataLoader Workers (per GPU)</t>
  </si>
  <si>
    <t xml:space="preserve">max(4, G_rec ÷ 16)  →  parallel prefetch threads per GPU</t>
  </si>
  <si>
    <t xml:space="preserve">Prefetch Buffer (batches ahead)</t>
  </si>
  <si>
    <t xml:space="preserve">max(2, round(log₂(G_rec)))  →  queue depth to keep GPUs saturated</t>
  </si>
  <si>
    <t xml:space="preserve">Preprocessing Workers (dedup + tokenise)</t>
  </si>
  <si>
    <t xml:space="preserve">max(50, G_rec × 3)  →  Dataflow/Spark workers for dedup + tokenisation job</t>
  </si>
  <si>
    <t xml:space="preserve">  SECTION G — EXECUTIVE SUMMARY</t>
  </si>
  <si>
    <t xml:space="preserve">Dataset</t>
  </si>
  <si>
    <t xml:space="preserve">Clean training tokens</t>
  </si>
  <si>
    <t xml:space="preserve">Model</t>
  </si>
  <si>
    <t xml:space="preserve">Selected model size</t>
  </si>
  <si>
    <t xml:space="preserve">Chinchilla-optimal size for your data</t>
  </si>
  <si>
    <t xml:space="preserve">Dataset utilisation</t>
  </si>
  <si>
    <t xml:space="preserve">GPU</t>
  </si>
  <si>
    <t xml:space="preserve">GPU type</t>
  </si>
  <si>
    <t xml:space="preserve">VRAM per GPU</t>
  </si>
  <si>
    <t xml:space="preserve">Cluster</t>
  </si>
  <si>
    <t xml:space="preserve">✦ Recommended GPU count</t>
  </si>
  <si>
    <t xml:space="preserve">Compute nodes</t>
  </si>
  <si>
    <t xml:space="preserve">Parallelism configuration</t>
  </si>
  <si>
    <t xml:space="preserve">Time</t>
  </si>
  <si>
    <t xml:space="preserve">✦ Training time — BF16</t>
  </si>
  <si>
    <t xml:space="preserve">✦ Training time — FP8</t>
  </si>
  <si>
    <t xml:space="preserve">Pipeline</t>
  </si>
  <si>
    <t xml:space="preserve">✦ Min storage throughput needed</t>
  </si>
  <si>
    <t xml:space="preserve">Object storage buckets / containers</t>
  </si>
  <si>
    <t xml:space="preserve">Data shards (512 MB each)</t>
  </si>
  <si>
    <t xml:space="preserve">  Data sources &amp; verification: GPU TFLOPS values are DENSE (non-sparsity) per NVIDIA datasheets. H200 SXM BF16=989 TFLOPS, FP8=1,979 TFLOPS (same GH100 die as H100). NVIDIA's headline marketing figures (1,979/3,958) include 2:4 structured sparsity not used in LLM pre-training. MFU default=45% per Meta LLaMA 3 training paper (~38-42% achieved on H100 SXM). Chinchilla law: Hoffmann et al. (2022) 'Training Compute-Optimal LLMs'. Memory formula: 16 bytes/param = 2(BF16)+4(fp32)+8(Adam m+v)+2(activations), standard in Megatron-LM and NeMo.</t>
  </si>
  <si>
    <t xml:space="preserve">  GPU Reference — Specifications for VLOOKUP</t>
  </si>
  <si>
    <t xml:space="preserve">VRAM (GB)</t>
  </si>
  <si>
    <t xml:space="preserve">Mem BW (TB/s)</t>
  </si>
  <si>
    <t xml:space="preserve">BF16 Dense TFLOPS</t>
  </si>
  <si>
    <t xml:space="preserve">FP8 Dense TFLOPS</t>
  </si>
  <si>
    <t xml:space="preserve">NVLink BW (GB/s)</t>
  </si>
  <si>
    <t xml:space="preserve">Dense BF16/FP8 (non-sparsity). Same GH100 die as H100; advantage is 141 GB HBM3e memory.</t>
  </si>
  <si>
    <t xml:space="preserve">H100 SXM</t>
  </si>
  <si>
    <t xml:space="preserve">Dense BF16/FP8 (non-sparsity). Same compute as H200; 80 GB HBM3 memory.</t>
  </si>
  <si>
    <t xml:space="preserve">H100 PCIe</t>
  </si>
  <si>
    <t xml:space="preserve">—</t>
  </si>
  <si>
    <t xml:space="preserve">114 SMs vs 132 for SXM; no NVLink; dense BF16/FP8. Not suitable for multi-node tensor parallelism.</t>
  </si>
  <si>
    <t xml:space="preserve">A100 SXM 80GB</t>
  </si>
  <si>
    <t xml:space="preserve">N/A</t>
  </si>
  <si>
    <t xml:space="preserve">No FP8 support. BF16 dense = 312 TFLOPS. Use BF16 only.</t>
  </si>
  <si>
    <t xml:space="preserve">A100 PCIe 80GB</t>
  </si>
  <si>
    <t xml:space="preserve">No FP8, no NVLink. Fine-tune workloads only.</t>
  </si>
  <si>
    <t xml:space="preserve">A100 PCIe 40GB</t>
  </si>
  <si>
    <t xml:space="preserve">40 GB variant. Dense BF16 = 312 TFLOPS.</t>
  </si>
  <si>
    <t xml:space="preserve">Custom GPU</t>
  </si>
  <si>
    <t xml:space="preserve">Add your GPU here — must match name exactly in Calculator dropdown</t>
  </si>
  <si>
    <t xml:space="preserve">  ⚠  All TFLOPS values are DENSE (without 2:4 structured sparsity). NVIDIA's headline marketing figures are 2× higher (1,979 BF16 / 3,958 FP8 for H200/H100 SXM) but include 2:4 structured sparsity, which LLM pre-training does NOT use. MFU is measured against dense peak. Sources: NVIDIA H100 Datasheet · WareDB H200 specs · Spheron GPU Guide 2026 · Baseten H200 benchmarks.</t>
  </si>
  <si>
    <t xml:space="preserve">  ← To add a custom GPU: fill in columns A–F with your GPU's specs, then update the dropdown in Calculator!C33 to include the new model name.</t>
  </si>
  <si>
    <t xml:space="preserve">  Model Reference — Presets for VLOOKUP</t>
  </si>
  <si>
    <t xml:space="preserve">Preset Name</t>
  </si>
  <si>
    <t xml:space="preserve">Params (Billions)</t>
  </si>
  <si>
    <t xml:space="preserve">Chinchilla Tokens (T)</t>
  </si>
  <si>
    <t xml:space="preserve">Training Memory (GB)</t>
  </si>
  <si>
    <t xml:space="preserve">Cluster (H200)</t>
  </si>
  <si>
    <t xml:space="preserve">Business Use Case</t>
  </si>
  <si>
    <t xml:space="preserve">7B</t>
  </si>
  <si>
    <t xml:space="preserve">8× H200 (1 node)</t>
  </si>
  <si>
    <t xml:space="preserve">Domain expert — coding, legal, finance, Q&amp;A</t>
  </si>
  <si>
    <t xml:space="preserve">13B</t>
  </si>
  <si>
    <t xml:space="preserve">16× H200 (2 nodes)</t>
  </si>
  <si>
    <t xml:space="preserve">Instruction-following assistant</t>
  </si>
  <si>
    <t xml:space="preserve">64× H200 (8 nodes)</t>
  </si>
  <si>
    <t xml:space="preserve">★ Enterprise production — near GPT-3.5 class</t>
  </si>
  <si>
    <t xml:space="preserve">180B</t>
  </si>
  <si>
    <t xml:space="preserve">128× H200 (16 nodes)</t>
  </si>
  <si>
    <t xml:space="preserve">Near-frontier flagship org model</t>
  </si>
  <si>
    <t xml:space="preserve">405B</t>
  </si>
  <si>
    <t xml:space="preserve">256× H200 (32 nodes)</t>
  </si>
  <si>
    <t xml:space="preserve">GPT-4 class capability</t>
  </si>
  <si>
    <t xml:space="preserve">1T</t>
  </si>
  <si>
    <t xml:space="preserve">512× H200 (64 nodes)</t>
  </si>
  <si>
    <t xml:space="preserve">Frontier research — lab-scale infra</t>
  </si>
</sst>
</file>

<file path=xl/styles.xml><?xml version="1.0" encoding="utf-8"?>
<styleSheet xmlns="http://schemas.openxmlformats.org/spreadsheetml/2006/main">
  <numFmts count="30">
    <numFmt numFmtId="164" formatCode="General"/>
    <numFmt numFmtId="165" formatCode="#,##0"/>
    <numFmt numFmtId="166" formatCode="#,##0,,,\T"/>
    <numFmt numFmtId="167" formatCode="0.0%"/>
    <numFmt numFmtId="168" formatCode="#,##0,,,&quot;T tokens&quot;"/>
    <numFmt numFmtId="169" formatCode="#,##0.0\T"/>
    <numFmt numFmtId="170" formatCode="#,##0.0\B"/>
    <numFmt numFmtId="171" formatCode="#,##0.0"/>
    <numFmt numFmtId="172" formatCode="#,##0.0&quot;B params&quot;"/>
    <numFmt numFmtId="173" formatCode="0.00%"/>
    <numFmt numFmtId="174" formatCode="0.00E+00"/>
    <numFmt numFmtId="175" formatCode="0&quot;  GB&quot;"/>
    <numFmt numFmtId="176" formatCode="#,##0&quot; TFLOPS&quot;"/>
    <numFmt numFmtId="177" formatCode="0%"/>
    <numFmt numFmtId="178" formatCode="#,##0&quot;  GB&quot;"/>
    <numFmt numFmtId="179" formatCode="0"/>
    <numFmt numFmtId="180" formatCode="0&quot; GPUs&quot;"/>
    <numFmt numFmtId="181" formatCode="0&quot; nodes&quot;"/>
    <numFmt numFmtId="182" formatCode="0&quot; replicas&quot;"/>
    <numFmt numFmtId="183" formatCode="@"/>
    <numFmt numFmtId="184" formatCode="#,##0.0&quot; hrs&quot;"/>
    <numFmt numFmtId="185" formatCode="0.0&quot; days&quot;"/>
    <numFmt numFmtId="186" formatCode="#,##0&quot; GB/s&quot;"/>
    <numFmt numFmtId="187" formatCode="#,##0&quot; shards&quot;"/>
    <numFmt numFmtId="188" formatCode="0&quot; workers/GPU&quot;"/>
    <numFmt numFmtId="189" formatCode="0&quot; batches&quot;"/>
    <numFmt numFmtId="190" formatCode="#,##0&quot; workers&quot;"/>
    <numFmt numFmtId="191" formatCode="0.0"/>
    <numFmt numFmtId="192" formatCode="#,##0\B"/>
    <numFmt numFmtId="193" formatCode="#,##0&quot; GB&quot;"/>
  </numFmts>
  <fonts count="2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FFFFFF"/>
      <name val="Calibri"/>
      <family val="0"/>
      <charset val="1"/>
    </font>
    <font>
      <i val="true"/>
      <sz val="9"/>
      <color rgb="FFFFFFFF"/>
      <name val="Calibri"/>
      <family val="0"/>
      <charset val="1"/>
    </font>
    <font>
      <b val="true"/>
      <sz val="8.5"/>
      <color rgb="FF1A40A0"/>
      <name val="Calibri"/>
      <family val="0"/>
      <charset val="1"/>
    </font>
    <font>
      <b val="true"/>
      <sz val="8.5"/>
      <color rgb="FF2A7A50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b val="true"/>
      <sz val="9"/>
      <color rgb="FF1B3D6F"/>
      <name val="Calibri"/>
      <family val="0"/>
      <charset val="1"/>
    </font>
    <font>
      <sz val="9.5"/>
      <color rgb="FF7A8899"/>
      <name val="Calibri"/>
      <family val="0"/>
      <charset val="1"/>
    </font>
    <font>
      <b val="true"/>
      <sz val="10"/>
      <color rgb="FF1A40A0"/>
      <name val="Calibri"/>
      <family val="0"/>
      <charset val="1"/>
    </font>
    <font>
      <i val="true"/>
      <sz val="9"/>
      <color rgb="FF7A8899"/>
      <name val="Calibri"/>
      <family val="0"/>
      <charset val="1"/>
    </font>
    <font>
      <sz val="10"/>
      <color rgb="FF000000"/>
      <name val="Calibri"/>
      <family val="0"/>
      <charset val="1"/>
    </font>
    <font>
      <b val="true"/>
      <sz val="10"/>
      <color rgb="FF2A7A50"/>
      <name val="Calibri"/>
      <family val="0"/>
      <charset val="1"/>
    </font>
    <font>
      <b val="true"/>
      <sz val="9"/>
      <color rgb="FF2A7A50"/>
      <name val="Calibri"/>
      <family val="0"/>
      <charset val="1"/>
    </font>
    <font>
      <b val="true"/>
      <sz val="9"/>
      <color rgb="FF7A8899"/>
      <name val="Calibri"/>
      <family val="0"/>
      <charset val="1"/>
    </font>
    <font>
      <sz val="9.5"/>
      <color rgb="FF000000"/>
      <name val="Calibri"/>
      <family val="0"/>
      <charset val="1"/>
    </font>
    <font>
      <sz val="9.5"/>
      <color rgb="FF1B3D6F"/>
      <name val="Calibri"/>
      <family val="0"/>
      <charset val="1"/>
    </font>
    <font>
      <i val="true"/>
      <sz val="8.5"/>
      <color rgb="FF7A8899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9.5"/>
      <color rgb="FFFFFFFF"/>
      <name val="Calibri"/>
      <family val="0"/>
      <charset val="1"/>
    </font>
    <font>
      <b val="true"/>
      <sz val="9.5"/>
      <color rgb="FF1B3D6F"/>
      <name val="Calibri"/>
      <family val="0"/>
      <charset val="1"/>
    </font>
    <font>
      <sz val="9.5"/>
      <color rgb="FF2A7A50"/>
      <name val="Calibri"/>
      <family val="0"/>
      <charset val="1"/>
    </font>
    <font>
      <b val="true"/>
      <i val="true"/>
      <sz val="9.5"/>
      <color rgb="FF1A40A0"/>
      <name val="Calibri"/>
      <family val="0"/>
      <charset val="1"/>
    </font>
    <font>
      <i val="true"/>
      <sz val="9"/>
      <color rgb="FFB5821A"/>
      <name val="Calibri"/>
      <family val="0"/>
      <charset val="1"/>
    </font>
    <font>
      <b val="true"/>
      <sz val="9.5"/>
      <color rgb="FF2A7A50"/>
      <name val="Calibri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1B3D6F"/>
        <bgColor rgb="FF1A40A0"/>
      </patternFill>
    </fill>
    <fill>
      <patternFill patternType="solid">
        <fgColor rgb="FF2D5FA0"/>
        <bgColor rgb="FF0E7490"/>
      </patternFill>
    </fill>
    <fill>
      <patternFill patternType="solid">
        <fgColor rgb="FFF6F3EE"/>
        <bgColor rgb="FFFBF3E2"/>
      </patternFill>
    </fill>
    <fill>
      <patternFill patternType="solid">
        <fgColor rgb="FFEEF2F8"/>
        <bgColor rgb="FFEFF6FF"/>
      </patternFill>
    </fill>
    <fill>
      <patternFill patternType="solid">
        <fgColor rgb="FFEFF6FF"/>
        <bgColor rgb="FFEEF2F8"/>
      </patternFill>
    </fill>
    <fill>
      <patternFill patternType="solid">
        <fgColor rgb="FFFFFFFF"/>
        <bgColor rgb="FFEFF6FF"/>
      </patternFill>
    </fill>
    <fill>
      <patternFill patternType="solid">
        <fgColor rgb="FFD6EFE2"/>
        <bgColor rgb="FFEEEAE2"/>
      </patternFill>
    </fill>
    <fill>
      <patternFill patternType="solid">
        <fgColor rgb="FFEEEAE2"/>
        <bgColor rgb="FFF6F3EE"/>
      </patternFill>
    </fill>
    <fill>
      <patternFill patternType="solid">
        <fgColor rgb="FFB5821A"/>
        <bgColor rgb="FFFF9900"/>
      </patternFill>
    </fill>
    <fill>
      <patternFill patternType="solid">
        <fgColor rgb="FFFBF3E2"/>
        <bgColor rgb="FFF6F3EE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DDAD3"/>
      </bottom>
      <diagonal/>
    </border>
    <border diagonalUp="false" diagonalDown="false">
      <left style="thin">
        <color rgb="FFDDDAD3"/>
      </left>
      <right style="thin">
        <color rgb="FFDDDAD3"/>
      </right>
      <top style="thin">
        <color rgb="FFDDDAD3"/>
      </top>
      <bottom style="thin">
        <color rgb="FFDDDAD3"/>
      </bottom>
      <diagonal/>
    </border>
    <border diagonalUp="false" diagonalDown="false">
      <left style="medium">
        <color rgb="FF2A7A50"/>
      </left>
      <right style="medium">
        <color rgb="FF2A7A50"/>
      </right>
      <top style="medium">
        <color rgb="FF2A7A50"/>
      </top>
      <bottom style="medium">
        <color rgb="FF2A7A5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4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11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7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13" fillId="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1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3" fillId="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7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8" fontId="14" fillId="8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5" fillId="8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0" fillId="9" borderId="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13" fillId="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13" fillId="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11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14" fillId="8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5" fillId="8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72" fontId="13" fillId="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3" fontId="13" fillId="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4" fontId="13" fillId="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5" fontId="13" fillId="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6" fontId="13" fillId="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7" fontId="11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8" fontId="14" fillId="8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9" fontId="11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80" fontId="13" fillId="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80" fontId="14" fillId="8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81" fontId="13" fillId="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8" fontId="13" fillId="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82" fontId="13" fillId="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83" fontId="13" fillId="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84" fontId="13" fillId="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85" fontId="14" fillId="8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83" fontId="13" fillId="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86" fontId="14" fillId="8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9" fontId="13" fillId="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87" fontId="13" fillId="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88" fontId="13" fillId="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89" fontId="13" fillId="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90" fontId="13" fillId="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1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8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9" fillId="11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1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8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91" fontId="23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91" fontId="17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3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7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8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2" fillId="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91" fontId="17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7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91" fontId="17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7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6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5" fillId="11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1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1" fontId="17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92" fontId="17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93" fontId="17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7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92" fontId="17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93" fontId="17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8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1" fontId="26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92" fontId="26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93" fontId="26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5821A"/>
      <rgbColor rgb="FF800080"/>
      <rgbColor rgb="FF0E7490"/>
      <rgbColor rgb="FFC0C0C0"/>
      <rgbColor rgb="FF7A8899"/>
      <rgbColor rgb="FF9999FF"/>
      <rgbColor rgb="FF993366"/>
      <rgbColor rgb="FFFBF3E2"/>
      <rgbColor rgb="FFEFF6FF"/>
      <rgbColor rgb="FF660066"/>
      <rgbColor rgb="FFFF8080"/>
      <rgbColor rgb="FF2D5FA0"/>
      <rgbColor rgb="FFDDDAD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EF2F8"/>
      <rgbColor rgb="FFD6EFE2"/>
      <rgbColor rgb="FFF6F3EE"/>
      <rgbColor rgb="FF99CCFF"/>
      <rgbColor rgb="FFFF99CC"/>
      <rgbColor rgb="FFCC99FF"/>
      <rgbColor rgb="FFEEEAE2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B3D6F"/>
      <rgbColor rgb="FF2A7A50"/>
      <rgbColor rgb="FF003300"/>
      <rgbColor rgb="FF333300"/>
      <rgbColor rgb="FF993300"/>
      <rgbColor rgb="FF993366"/>
      <rgbColor rgb="FF1A40A0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3D6F"/>
    <pageSetUpPr fitToPage="false"/>
  </sheetPr>
  <dimension ref="A1:G119"/>
  <sheetViews>
    <sheetView showFormulas="false" showGridLines="false" showRowColHeaders="true" showZeros="true" rightToLeft="false" tabSelected="true" showOutlineSymbols="true" defaultGridColor="true" view="normal" topLeftCell="A1" colorId="64" zoomScale="95" zoomScaleNormal="95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28"/>
    <col collapsed="false" customWidth="true" hidden="false" outlineLevel="0" max="3" min="3" style="1" width="18"/>
    <col collapsed="false" customWidth="true" hidden="false" outlineLevel="0" max="4" min="4" style="1" width="5"/>
    <col collapsed="false" customWidth="true" hidden="false" outlineLevel="0" max="5" min="5" style="1" width="28"/>
    <col collapsed="false" customWidth="true" hidden="false" outlineLevel="0" max="6" min="6" style="1" width="18"/>
    <col collapsed="false" customWidth="true" hidden="false" outlineLevel="0" max="7" min="7" style="1" width="2"/>
  </cols>
  <sheetData>
    <row r="1" customFormat="false" ht="7.5" hidden="false" customHeight="true" outlineLevel="0" collapsed="false"/>
    <row r="2" customFormat="false" ht="36" hidden="false" customHeight="true" outlineLevel="0" collapsed="false">
      <c r="A2" s="2" t="s">
        <v>0</v>
      </c>
      <c r="B2" s="2"/>
      <c r="C2" s="2"/>
      <c r="D2" s="2"/>
      <c r="E2" s="2"/>
      <c r="F2" s="2"/>
      <c r="G2" s="2"/>
    </row>
    <row r="3" customFormat="false" ht="18" hidden="false" customHeight="true" outlineLevel="0" collapsed="false">
      <c r="A3" s="3" t="s">
        <v>1</v>
      </c>
      <c r="B3" s="3"/>
      <c r="C3" s="3"/>
      <c r="D3" s="3"/>
      <c r="E3" s="3"/>
      <c r="F3" s="3"/>
      <c r="G3" s="3"/>
    </row>
    <row r="4" customFormat="false" ht="12" hidden="false" customHeight="true" outlineLevel="0" collapsed="false">
      <c r="A4" s="4"/>
      <c r="B4" s="4"/>
      <c r="C4" s="4"/>
      <c r="D4" s="4"/>
      <c r="E4" s="4"/>
      <c r="F4" s="4"/>
      <c r="G4" s="4"/>
    </row>
    <row r="5" customFormat="false" ht="13.5" hidden="false" customHeight="true" outlineLevel="0" collapsed="false">
      <c r="B5" s="5" t="s">
        <v>2</v>
      </c>
      <c r="C5" s="5"/>
      <c r="E5" s="6" t="s">
        <v>3</v>
      </c>
      <c r="F5" s="6"/>
    </row>
    <row r="6" customFormat="false" ht="6" hidden="false" customHeight="true" outlineLevel="0" collapsed="false">
      <c r="A6" s="4"/>
      <c r="B6" s="4"/>
      <c r="C6" s="4"/>
      <c r="D6" s="4"/>
      <c r="E6" s="4"/>
      <c r="F6" s="4"/>
      <c r="G6" s="4"/>
    </row>
    <row r="7" customFormat="false" ht="18" hidden="false" customHeight="true" outlineLevel="0" collapsed="false">
      <c r="A7" s="7" t="s">
        <v>4</v>
      </c>
      <c r="B7" s="7"/>
      <c r="C7" s="7"/>
      <c r="D7" s="7"/>
      <c r="E7" s="7"/>
      <c r="F7" s="7"/>
      <c r="G7" s="7"/>
    </row>
    <row r="8" customFormat="false" ht="13.5" hidden="false" customHeight="true" outlineLevel="0" collapsed="false">
      <c r="B8" s="8" t="s">
        <v>5</v>
      </c>
      <c r="C8" s="9" t="s">
        <v>6</v>
      </c>
      <c r="D8" s="10"/>
      <c r="E8" s="8" t="s">
        <v>7</v>
      </c>
      <c r="F8" s="9" t="s">
        <v>8</v>
      </c>
    </row>
    <row r="9" customFormat="false" ht="16.5" hidden="false" customHeight="true" outlineLevel="0" collapsed="false">
      <c r="B9" s="11" t="s">
        <v>9</v>
      </c>
      <c r="C9" s="12" t="n">
        <v>1228800</v>
      </c>
      <c r="D9" s="4"/>
      <c r="E9" s="13" t="s">
        <v>10</v>
      </c>
      <c r="F9" s="14" t="n">
        <f aca="false">C9*1073741824/4</f>
        <v>329853488332800</v>
      </c>
    </row>
    <row r="10" customFormat="false" ht="16.5" hidden="false" customHeight="true" outlineLevel="0" collapsed="false">
      <c r="B10" s="11" t="s">
        <v>11</v>
      </c>
      <c r="C10" s="15" t="n">
        <v>0.4</v>
      </c>
      <c r="D10" s="4"/>
      <c r="E10" s="13" t="s">
        <v>12</v>
      </c>
    </row>
    <row r="11" customFormat="false" ht="16.5" hidden="false" customHeight="true" outlineLevel="0" collapsed="false">
      <c r="B11" s="11" t="s">
        <v>13</v>
      </c>
      <c r="C11" s="15" t="n">
        <v>0.3</v>
      </c>
      <c r="D11" s="4"/>
      <c r="E11" s="13" t="s">
        <v>14</v>
      </c>
    </row>
    <row r="12" customFormat="false" ht="16.5" hidden="false" customHeight="true" outlineLevel="0" collapsed="false">
      <c r="B12" s="11" t="s">
        <v>15</v>
      </c>
      <c r="C12" s="16" t="n">
        <f aca="false">C9*1073741824/4</f>
        <v>329853488332800</v>
      </c>
      <c r="D12" s="4"/>
      <c r="E12" s="17" t="s">
        <v>16</v>
      </c>
    </row>
    <row r="13" customFormat="false" ht="18.75" hidden="false" customHeight="true" outlineLevel="0" collapsed="false">
      <c r="B13" s="11" t="s">
        <v>17</v>
      </c>
      <c r="C13" s="18" t="n">
        <f aca="false">C12*(1-C10)*(1-C11)</f>
        <v>138538465099776</v>
      </c>
      <c r="D13" s="4"/>
      <c r="E13" s="19" t="s">
        <v>18</v>
      </c>
    </row>
    <row r="14" customFormat="false" ht="6" hidden="false" customHeight="true" outlineLevel="0" collapsed="false">
      <c r="A14" s="20"/>
      <c r="B14" s="20"/>
      <c r="C14" s="20"/>
      <c r="D14" s="20"/>
      <c r="E14" s="20"/>
      <c r="F14" s="20"/>
      <c r="G14" s="20"/>
    </row>
    <row r="15" customFormat="false" ht="16.5" hidden="false" customHeight="true" outlineLevel="0" collapsed="false">
      <c r="B15" s="11" t="s">
        <v>19</v>
      </c>
      <c r="C15" s="21" t="n">
        <f aca="false">C9*105000000/1000000000000</f>
        <v>129.024</v>
      </c>
      <c r="D15" s="4"/>
      <c r="E15" s="17" t="s">
        <v>20</v>
      </c>
    </row>
    <row r="16" customFormat="false" ht="6" hidden="false" customHeight="true" outlineLevel="0" collapsed="false">
      <c r="A16" s="20"/>
      <c r="B16" s="20"/>
      <c r="C16" s="20"/>
      <c r="D16" s="20"/>
      <c r="E16" s="20"/>
      <c r="F16" s="20"/>
      <c r="G16" s="20"/>
    </row>
    <row r="17" customFormat="false" ht="7.5" hidden="false" customHeight="true" outlineLevel="0" collapsed="false">
      <c r="A17" s="4"/>
      <c r="B17" s="4"/>
      <c r="C17" s="4"/>
      <c r="D17" s="4"/>
      <c r="E17" s="4"/>
      <c r="F17" s="4"/>
      <c r="G17" s="4"/>
    </row>
    <row r="18" customFormat="false" ht="18" hidden="false" customHeight="true" outlineLevel="0" collapsed="false">
      <c r="A18" s="7" t="s">
        <v>21</v>
      </c>
      <c r="B18" s="7"/>
      <c r="C18" s="7"/>
      <c r="D18" s="7"/>
      <c r="E18" s="7"/>
      <c r="F18" s="7"/>
      <c r="G18" s="7"/>
    </row>
    <row r="19" customFormat="false" ht="13.5" hidden="false" customHeight="true" outlineLevel="0" collapsed="false">
      <c r="B19" s="22" t="s">
        <v>5</v>
      </c>
      <c r="C19" s="22" t="s">
        <v>6</v>
      </c>
      <c r="D19" s="23"/>
      <c r="E19" s="22" t="s">
        <v>22</v>
      </c>
      <c r="F19" s="22"/>
    </row>
    <row r="20" customFormat="false" ht="16.5" hidden="false" customHeight="true" outlineLevel="0" collapsed="false">
      <c r="B20" s="11" t="s">
        <v>23</v>
      </c>
      <c r="C20" s="24" t="s">
        <v>24</v>
      </c>
      <c r="D20" s="4"/>
      <c r="E20" s="13" t="s">
        <v>25</v>
      </c>
    </row>
    <row r="21" customFormat="false" ht="16.5" hidden="false" customHeight="true" outlineLevel="0" collapsed="false">
      <c r="B21" s="11" t="s">
        <v>26</v>
      </c>
      <c r="C21" s="25" t="n">
        <f aca="false">IFERROR(VLOOKUP(C20,Model_Reference!$A$3:$B$9,2,FALSE()),"—")</f>
        <v>70</v>
      </c>
      <c r="D21" s="4"/>
      <c r="E21" s="13" t="s">
        <v>27</v>
      </c>
    </row>
    <row r="22" customFormat="false" ht="16.5" hidden="false" customHeight="true" outlineLevel="0" collapsed="false">
      <c r="B22" s="11" t="s">
        <v>28</v>
      </c>
      <c r="C22" s="26"/>
      <c r="D22" s="4"/>
      <c r="E22" s="13" t="s">
        <v>29</v>
      </c>
    </row>
    <row r="23" customFormat="false" ht="16.5" hidden="false" customHeight="true" outlineLevel="0" collapsed="false">
      <c r="B23" s="11" t="s">
        <v>30</v>
      </c>
      <c r="C23" s="27" t="n">
        <f aca="false">IF(C20="Custom",IF(ISNUMBER(C22),C22,0),IF(ISNUMBER(C21),C21,0))</f>
        <v>70</v>
      </c>
      <c r="D23" s="4"/>
      <c r="E23" s="28" t="s">
        <v>31</v>
      </c>
    </row>
    <row r="24" customFormat="false" ht="6" hidden="false" customHeight="true" outlineLevel="0" collapsed="false">
      <c r="A24" s="20"/>
      <c r="B24" s="20"/>
      <c r="C24" s="20"/>
      <c r="D24" s="20"/>
      <c r="E24" s="20"/>
      <c r="F24" s="20"/>
      <c r="G24" s="20"/>
    </row>
    <row r="25" customFormat="false" ht="16.5" hidden="false" customHeight="true" outlineLevel="0" collapsed="false">
      <c r="B25" s="11" t="s">
        <v>32</v>
      </c>
      <c r="C25" s="16" t="n">
        <f aca="false">C23*20</f>
        <v>1400</v>
      </c>
      <c r="D25" s="4"/>
      <c r="E25" s="17" t="s">
        <v>33</v>
      </c>
    </row>
    <row r="26" customFormat="false" ht="16.5" hidden="false" customHeight="true" outlineLevel="0" collapsed="false">
      <c r="B26" s="11" t="s">
        <v>34</v>
      </c>
      <c r="C26" s="29" t="n">
        <f aca="false">C13/20</f>
        <v>6926923254988.8</v>
      </c>
      <c r="D26" s="4"/>
      <c r="E26" s="17" t="s">
        <v>35</v>
      </c>
    </row>
    <row r="27" customFormat="false" ht="16.5" hidden="false" customHeight="true" outlineLevel="0" collapsed="false">
      <c r="B27" s="11" t="s">
        <v>36</v>
      </c>
      <c r="C27" s="30" t="n">
        <f aca="false">IFERROR(C25/C13,"—")</f>
        <v>1.01054966863659E-011</v>
      </c>
      <c r="D27" s="4"/>
      <c r="E27" s="13" t="s">
        <v>37</v>
      </c>
    </row>
    <row r="28" customFormat="false" ht="16.5" hidden="false" customHeight="true" outlineLevel="0" collapsed="false">
      <c r="B28" s="11" t="s">
        <v>38</v>
      </c>
      <c r="C28" s="31" t="n">
        <f aca="false">6*C23*1000000000*C25*1000000000000</f>
        <v>5.88E+026</v>
      </c>
      <c r="D28" s="4"/>
      <c r="E28" s="17" t="s">
        <v>39</v>
      </c>
    </row>
    <row r="29" customFormat="false" ht="6" hidden="false" customHeight="true" outlineLevel="0" collapsed="false">
      <c r="A29" s="20"/>
      <c r="B29" s="20"/>
      <c r="C29" s="20"/>
      <c r="D29" s="20"/>
      <c r="E29" s="20"/>
      <c r="F29" s="20"/>
      <c r="G29" s="20"/>
    </row>
    <row r="30" customFormat="false" ht="7.5" hidden="false" customHeight="true" outlineLevel="0" collapsed="false">
      <c r="A30" s="4"/>
      <c r="B30" s="4"/>
      <c r="C30" s="4"/>
      <c r="D30" s="4"/>
      <c r="E30" s="4"/>
      <c r="F30" s="4"/>
      <c r="G30" s="4"/>
    </row>
    <row r="31" customFormat="false" ht="18" hidden="false" customHeight="true" outlineLevel="0" collapsed="false">
      <c r="A31" s="7" t="s">
        <v>40</v>
      </c>
      <c r="B31" s="7"/>
      <c r="C31" s="7"/>
      <c r="D31" s="7"/>
      <c r="E31" s="7"/>
      <c r="F31" s="7"/>
      <c r="G31" s="7"/>
    </row>
    <row r="32" customFormat="false" ht="13.5" hidden="false" customHeight="true" outlineLevel="0" collapsed="false">
      <c r="B32" s="22" t="s">
        <v>5</v>
      </c>
      <c r="C32" s="22" t="s">
        <v>6</v>
      </c>
      <c r="D32" s="23"/>
      <c r="E32" s="22" t="s">
        <v>22</v>
      </c>
      <c r="F32" s="22" t="s">
        <v>41</v>
      </c>
    </row>
    <row r="33" customFormat="false" ht="16.5" hidden="false" customHeight="true" outlineLevel="0" collapsed="false">
      <c r="B33" s="11" t="s">
        <v>42</v>
      </c>
      <c r="C33" s="24" t="s">
        <v>43</v>
      </c>
      <c r="D33" s="4"/>
      <c r="E33" s="13" t="s">
        <v>44</v>
      </c>
    </row>
    <row r="34" customFormat="false" ht="16.5" hidden="false" customHeight="true" outlineLevel="0" collapsed="false">
      <c r="B34" s="11" t="s">
        <v>45</v>
      </c>
      <c r="C34" s="32" t="n">
        <f aca="false">IFERROR(VLOOKUP(C33,GPU_Reference!$A$3:$F$9,2,FALSE()),"—")</f>
        <v>141</v>
      </c>
      <c r="D34" s="4"/>
      <c r="E34" s="13" t="s">
        <v>46</v>
      </c>
    </row>
    <row r="35" customFormat="false" ht="16.5" hidden="false" customHeight="true" outlineLevel="0" collapsed="false">
      <c r="B35" s="11" t="s">
        <v>47</v>
      </c>
      <c r="C35" s="33" t="n">
        <f aca="false">IFERROR(VLOOKUP(C33,GPU_Reference!$A$3:$F$9,4,FALSE()),"—")</f>
        <v>989</v>
      </c>
      <c r="D35" s="4"/>
      <c r="E35" s="34"/>
    </row>
    <row r="36" customFormat="false" ht="16.5" hidden="false" customHeight="true" outlineLevel="0" collapsed="false">
      <c r="B36" s="11" t="s">
        <v>48</v>
      </c>
      <c r="C36" s="33" t="n">
        <f aca="false">IFERROR(VLOOKUP(C33,GPU_Reference!$A$3:$F$9,5,FALSE()),"—")</f>
        <v>1979</v>
      </c>
      <c r="D36" s="4"/>
      <c r="E36" s="34"/>
    </row>
    <row r="37" customFormat="false" ht="16.5" hidden="false" customHeight="true" outlineLevel="0" collapsed="false">
      <c r="B37" s="11" t="s">
        <v>49</v>
      </c>
      <c r="C37" s="35" t="n">
        <v>0.45</v>
      </c>
      <c r="D37" s="4"/>
      <c r="E37" s="13" t="s">
        <v>50</v>
      </c>
    </row>
    <row r="38" customFormat="false" ht="16.5" hidden="false" customHeight="true" outlineLevel="0" collapsed="false">
      <c r="B38" s="11" t="s">
        <v>51</v>
      </c>
      <c r="C38" s="33" t="n">
        <f aca="false">IFERROR(C35*C37,"—")</f>
        <v>445.05</v>
      </c>
      <c r="D38" s="4"/>
      <c r="E38" s="17" t="s">
        <v>52</v>
      </c>
    </row>
    <row r="39" customFormat="false" ht="16.5" hidden="false" customHeight="true" outlineLevel="0" collapsed="false">
      <c r="B39" s="11" t="s">
        <v>53</v>
      </c>
      <c r="C39" s="33" t="n">
        <f aca="false">IFERROR(C36*C37,"—")</f>
        <v>890.55</v>
      </c>
      <c r="D39" s="4"/>
      <c r="E39" s="17" t="s">
        <v>54</v>
      </c>
    </row>
    <row r="40" customFormat="false" ht="6" hidden="false" customHeight="true" outlineLevel="0" collapsed="false">
      <c r="A40" s="20"/>
      <c r="B40" s="20"/>
      <c r="C40" s="20"/>
      <c r="D40" s="20"/>
      <c r="E40" s="20"/>
      <c r="F40" s="20"/>
      <c r="G40" s="20"/>
    </row>
    <row r="41" customFormat="false" ht="7.5" hidden="false" customHeight="true" outlineLevel="0" collapsed="false">
      <c r="A41" s="4"/>
      <c r="B41" s="4"/>
      <c r="C41" s="4"/>
      <c r="D41" s="4"/>
      <c r="E41" s="4"/>
      <c r="F41" s="4"/>
      <c r="G41" s="4"/>
    </row>
    <row r="42" customFormat="false" ht="18" hidden="false" customHeight="true" outlineLevel="0" collapsed="false">
      <c r="A42" s="7" t="s">
        <v>55</v>
      </c>
      <c r="B42" s="7"/>
      <c r="C42" s="7"/>
      <c r="D42" s="7"/>
      <c r="E42" s="7"/>
      <c r="F42" s="7"/>
      <c r="G42" s="7"/>
    </row>
    <row r="43" customFormat="false" ht="13.5" hidden="false" customHeight="true" outlineLevel="0" collapsed="false">
      <c r="B43" s="22" t="s">
        <v>5</v>
      </c>
      <c r="C43" s="22" t="s">
        <v>56</v>
      </c>
      <c r="D43" s="23"/>
      <c r="E43" s="22" t="s">
        <v>57</v>
      </c>
    </row>
    <row r="44" customFormat="false" ht="16.5" hidden="false" customHeight="true" outlineLevel="0" collapsed="false">
      <c r="B44" s="11" t="s">
        <v>58</v>
      </c>
      <c r="C44" s="36" t="n">
        <f aca="false">C23*1000000000*16/1073741824</f>
        <v>1043.08128356934</v>
      </c>
      <c r="D44" s="4"/>
      <c r="E44" s="17" t="s">
        <v>59</v>
      </c>
    </row>
    <row r="45" customFormat="false" ht="6" hidden="false" customHeight="true" outlineLevel="0" collapsed="false">
      <c r="A45" s="20"/>
      <c r="B45" s="20"/>
      <c r="C45" s="20"/>
      <c r="D45" s="20"/>
      <c r="E45" s="20"/>
      <c r="F45" s="20"/>
      <c r="G45" s="20"/>
    </row>
    <row r="46" customFormat="false" ht="16.5" hidden="false" customHeight="true" outlineLevel="0" collapsed="false">
      <c r="B46" s="11" t="s">
        <v>60</v>
      </c>
      <c r="C46" s="37" t="n">
        <v>8</v>
      </c>
      <c r="D46" s="4"/>
      <c r="E46" s="13" t="s">
        <v>61</v>
      </c>
    </row>
    <row r="47" customFormat="false" ht="16.5" hidden="false" customHeight="true" outlineLevel="0" collapsed="false">
      <c r="B47" s="11" t="s">
        <v>62</v>
      </c>
      <c r="C47" s="38" t="n">
        <f aca="false">IFERROR(CEILING(C44/C34,1),"—")</f>
        <v>8</v>
      </c>
      <c r="D47" s="4"/>
      <c r="E47" s="17" t="s">
        <v>63</v>
      </c>
    </row>
    <row r="48" customFormat="false" ht="18.75" hidden="false" customHeight="true" outlineLevel="0" collapsed="false">
      <c r="B48" s="11" t="s">
        <v>64</v>
      </c>
      <c r="C48" s="39" t="n">
        <f aca="false">IFERROR(CEILING(C47*C46,8),"—")</f>
        <v>64</v>
      </c>
      <c r="D48" s="4"/>
      <c r="E48" s="19" t="s">
        <v>65</v>
      </c>
    </row>
    <row r="49" customFormat="false" ht="16.5" hidden="false" customHeight="true" outlineLevel="0" collapsed="false">
      <c r="B49" s="11" t="s">
        <v>66</v>
      </c>
      <c r="C49" s="40" t="n">
        <f aca="false">IFERROR(C48/8,"—")</f>
        <v>8</v>
      </c>
      <c r="D49" s="4"/>
      <c r="E49" s="17" t="s">
        <v>67</v>
      </c>
    </row>
    <row r="50" customFormat="false" ht="16.5" hidden="false" customHeight="true" outlineLevel="0" collapsed="false">
      <c r="B50" s="11" t="s">
        <v>68</v>
      </c>
      <c r="C50" s="41" t="n">
        <f aca="false">IFERROR(C48*C34,"—")</f>
        <v>9024</v>
      </c>
      <c r="D50" s="4"/>
      <c r="E50" s="17" t="s">
        <v>69</v>
      </c>
    </row>
    <row r="51" customFormat="false" ht="6" hidden="false" customHeight="true" outlineLevel="0" collapsed="false">
      <c r="A51" s="20"/>
      <c r="B51" s="20"/>
      <c r="C51" s="20"/>
      <c r="D51" s="20"/>
      <c r="E51" s="20"/>
      <c r="F51" s="20"/>
      <c r="G51" s="20"/>
    </row>
    <row r="52" customFormat="false" ht="16.5" hidden="false" customHeight="true" outlineLevel="0" collapsed="false">
      <c r="B52" s="11" t="s">
        <v>70</v>
      </c>
      <c r="C52" s="42" t="n">
        <f aca="false">IFERROR(C48/C46,"—")</f>
        <v>8</v>
      </c>
      <c r="D52" s="4"/>
      <c r="E52" s="17" t="s">
        <v>71</v>
      </c>
    </row>
    <row r="53" customFormat="false" ht="16.5" hidden="false" customHeight="true" outlineLevel="0" collapsed="false">
      <c r="B53" s="11" t="s">
        <v>72</v>
      </c>
      <c r="C53" s="43" t="str">
        <f aca="false">IF(C49&lt;=1,"PP=1 (single node)",IF(C49&lt;=8,"PP=4 (multi-node)",IF(C49&lt;=32,"PP=8",IF(C49&lt;=128,"PP=16","PP=16+"))))</f>
        <v>PP=4 (multi-node)</v>
      </c>
      <c r="D53" s="4"/>
      <c r="E53" s="13" t="s">
        <v>73</v>
      </c>
    </row>
    <row r="54" customFormat="false" ht="6" hidden="false" customHeight="true" outlineLevel="0" collapsed="false">
      <c r="A54" s="20"/>
      <c r="B54" s="20"/>
      <c r="C54" s="20"/>
      <c r="D54" s="20"/>
      <c r="E54" s="20"/>
      <c r="F54" s="20"/>
      <c r="G54" s="20"/>
    </row>
    <row r="55" customFormat="false" ht="7.5" hidden="false" customHeight="true" outlineLevel="0" collapsed="false">
      <c r="A55" s="4"/>
      <c r="B55" s="4"/>
      <c r="C55" s="4"/>
      <c r="D55" s="4"/>
      <c r="E55" s="4"/>
      <c r="F55" s="4"/>
      <c r="G55" s="4"/>
    </row>
    <row r="56" customFormat="false" ht="18" hidden="false" customHeight="true" outlineLevel="0" collapsed="false">
      <c r="A56" s="7" t="s">
        <v>74</v>
      </c>
      <c r="B56" s="7"/>
      <c r="C56" s="7"/>
      <c r="D56" s="7"/>
      <c r="E56" s="7"/>
      <c r="F56" s="7"/>
      <c r="G56" s="7"/>
    </row>
    <row r="57" customFormat="false" ht="13.5" hidden="false" customHeight="true" outlineLevel="0" collapsed="false">
      <c r="B57" s="22" t="s">
        <v>75</v>
      </c>
      <c r="C57" s="22" t="s">
        <v>76</v>
      </c>
      <c r="D57" s="22" t="s">
        <v>77</v>
      </c>
      <c r="E57" s="22" t="s">
        <v>57</v>
      </c>
    </row>
    <row r="58" customFormat="false" ht="16.5" hidden="false" customHeight="true" outlineLevel="0" collapsed="false">
      <c r="B58" s="11" t="s">
        <v>78</v>
      </c>
      <c r="C58" s="44" t="n">
        <f aca="false">IFERROR(C28/(C38*1000000000000*C48*3600),"—")</f>
        <v>5734374.41485975</v>
      </c>
      <c r="D58" s="44" t="n">
        <f aca="false">IFERROR(C28/(C39*1000000000000*C48*3600),"—")</f>
        <v>2865738.40136245</v>
      </c>
      <c r="E58" s="17" t="s">
        <v>79</v>
      </c>
    </row>
    <row r="59" customFormat="false" ht="18.75" hidden="false" customHeight="true" outlineLevel="0" collapsed="false">
      <c r="B59" s="11" t="s">
        <v>80</v>
      </c>
      <c r="C59" s="45" t="n">
        <f aca="false">IFERROR(C58/24,"—")</f>
        <v>238932.267285823</v>
      </c>
      <c r="D59" s="45" t="n">
        <f aca="false">IFERROR(D58/24,"—")</f>
        <v>119405.766723436</v>
      </c>
      <c r="E59" s="28" t="s">
        <v>81</v>
      </c>
    </row>
    <row r="60" customFormat="false" ht="6" hidden="false" customHeight="true" outlineLevel="0" collapsed="false">
      <c r="A60" s="20"/>
      <c r="B60" s="20"/>
      <c r="C60" s="20"/>
      <c r="D60" s="20"/>
      <c r="E60" s="20"/>
      <c r="F60" s="20"/>
      <c r="G60" s="20"/>
    </row>
    <row r="61" customFormat="false" ht="16.5" hidden="false" customHeight="true" outlineLevel="0" collapsed="false">
      <c r="B61" s="11" t="s">
        <v>82</v>
      </c>
      <c r="C61" s="46" t="str">
        <f aca="false">IF(C59&lt;1,"Every 500 steps",IF(C59&lt;7,"Every 500 steps","Every 1,000 steps"))</f>
        <v>Every 1,000 steps</v>
      </c>
      <c r="D61" s="4"/>
      <c r="E61" s="13" t="s">
        <v>83</v>
      </c>
    </row>
    <row r="62" customFormat="false" ht="16.5" hidden="false" customHeight="true" outlineLevel="0" collapsed="false">
      <c r="B62" s="11" t="s">
        <v>84</v>
      </c>
      <c r="C62" s="46" t="str">
        <f aca="false">IF(C49&lt;=1,"NVLink only (no IB needed)",IF(C49&lt;=8,"NVLink + IB HDR 200G","IB HDR 400G fat-tree"))</f>
        <v>NVLink + IB HDR 200G</v>
      </c>
      <c r="D62" s="4"/>
      <c r="E62" s="13" t="s">
        <v>85</v>
      </c>
    </row>
    <row r="63" customFormat="false" ht="6" hidden="false" customHeight="true" outlineLevel="0" collapsed="false">
      <c r="A63" s="20"/>
      <c r="B63" s="20"/>
      <c r="C63" s="20"/>
      <c r="D63" s="20"/>
      <c r="E63" s="20"/>
      <c r="F63" s="20"/>
      <c r="G63" s="20"/>
    </row>
    <row r="64" customFormat="false" ht="7.5" hidden="false" customHeight="true" outlineLevel="0" collapsed="false">
      <c r="A64" s="4"/>
      <c r="B64" s="4"/>
      <c r="C64" s="4"/>
      <c r="D64" s="4"/>
      <c r="E64" s="4"/>
      <c r="F64" s="4"/>
      <c r="G64" s="4"/>
    </row>
    <row r="65" customFormat="false" ht="18" hidden="false" customHeight="true" outlineLevel="0" collapsed="false">
      <c r="A65" s="7" t="s">
        <v>86</v>
      </c>
      <c r="B65" s="7"/>
      <c r="C65" s="7"/>
      <c r="D65" s="7"/>
      <c r="E65" s="7"/>
      <c r="F65" s="7"/>
      <c r="G65" s="7"/>
    </row>
    <row r="66" customFormat="false" ht="13.5" hidden="false" customHeight="true" outlineLevel="0" collapsed="false">
      <c r="B66" s="22" t="s">
        <v>75</v>
      </c>
      <c r="C66" s="22" t="s">
        <v>56</v>
      </c>
      <c r="D66" s="23"/>
      <c r="E66" s="22" t="s">
        <v>57</v>
      </c>
    </row>
    <row r="67" customFormat="false" ht="18.75" hidden="false" customHeight="true" outlineLevel="0" collapsed="false">
      <c r="B67" s="11" t="s">
        <v>87</v>
      </c>
      <c r="C67" s="47" t="n">
        <f aca="false">C48*2</f>
        <v>128</v>
      </c>
      <c r="D67" s="4"/>
      <c r="E67" s="19" t="s">
        <v>88</v>
      </c>
    </row>
    <row r="68" customFormat="false" ht="16.5" hidden="false" customHeight="true" outlineLevel="0" collapsed="false">
      <c r="B68" s="11" t="s">
        <v>89</v>
      </c>
      <c r="C68" s="48" t="n">
        <f aca="false">MAX(8,CEILING(C48/4,1))</f>
        <v>16</v>
      </c>
      <c r="D68" s="4"/>
      <c r="E68" s="17" t="s">
        <v>90</v>
      </c>
    </row>
    <row r="69" customFormat="false" ht="16.5" hidden="false" customHeight="true" outlineLevel="0" collapsed="false">
      <c r="B69" s="11" t="s">
        <v>91</v>
      </c>
      <c r="C69" s="49" t="n">
        <f aca="false">IFERROR(CEILING(C13*1000000000000/536870912,1),"—")</f>
        <v>2.58048E+017</v>
      </c>
      <c r="D69" s="4"/>
      <c r="E69" s="17" t="s">
        <v>92</v>
      </c>
    </row>
    <row r="70" customFormat="false" ht="16.5" hidden="false" customHeight="true" outlineLevel="0" collapsed="false">
      <c r="B70" s="11" t="s">
        <v>93</v>
      </c>
      <c r="C70" s="50" t="n">
        <f aca="false">MAX(4,CEILING(C48/16,1))</f>
        <v>4</v>
      </c>
      <c r="D70" s="4"/>
      <c r="E70" s="17" t="s">
        <v>94</v>
      </c>
    </row>
    <row r="71" customFormat="false" ht="16.5" hidden="false" customHeight="true" outlineLevel="0" collapsed="false">
      <c r="B71" s="11" t="s">
        <v>95</v>
      </c>
      <c r="C71" s="51" t="n">
        <f aca="false">IFERROR(MAX(2,ROUND(LOG(C48,2),0)),"—")</f>
        <v>6</v>
      </c>
      <c r="D71" s="4"/>
      <c r="E71" s="17" t="s">
        <v>96</v>
      </c>
    </row>
    <row r="72" customFormat="false" ht="16.5" hidden="false" customHeight="true" outlineLevel="0" collapsed="false">
      <c r="B72" s="11" t="s">
        <v>97</v>
      </c>
      <c r="C72" s="52" t="n">
        <f aca="false">MAX(50,C48*3)</f>
        <v>192</v>
      </c>
      <c r="D72" s="4"/>
      <c r="E72" s="17" t="s">
        <v>98</v>
      </c>
    </row>
    <row r="73" customFormat="false" ht="6" hidden="false" customHeight="true" outlineLevel="0" collapsed="false">
      <c r="A73" s="20"/>
      <c r="B73" s="20"/>
      <c r="C73" s="20"/>
      <c r="D73" s="20"/>
      <c r="E73" s="20"/>
      <c r="F73" s="20"/>
      <c r="G73" s="20"/>
    </row>
    <row r="74" customFormat="false" ht="7.5" hidden="false" customHeight="true" outlineLevel="0" collapsed="false">
      <c r="A74" s="4"/>
      <c r="B74" s="4"/>
      <c r="C74" s="4"/>
      <c r="D74" s="4"/>
      <c r="E74" s="4"/>
      <c r="F74" s="4"/>
      <c r="G74" s="4"/>
    </row>
    <row r="75" customFormat="false" ht="18" hidden="false" customHeight="true" outlineLevel="0" collapsed="false">
      <c r="A75" s="53" t="s">
        <v>99</v>
      </c>
      <c r="B75" s="53"/>
      <c r="C75" s="53"/>
      <c r="D75" s="53"/>
      <c r="E75" s="53"/>
      <c r="F75" s="53"/>
      <c r="G75" s="53"/>
    </row>
    <row r="76" customFormat="false" ht="6.75" hidden="false" customHeight="true" outlineLevel="0" collapsed="false"/>
    <row r="77" customFormat="false" ht="16.5" hidden="false" customHeight="true" outlineLevel="0" collapsed="false">
      <c r="B77" s="54" t="s">
        <v>100</v>
      </c>
      <c r="C77" s="55" t="s">
        <v>101</v>
      </c>
      <c r="D77" s="4"/>
      <c r="E77" s="56" t="str">
        <f aca="false">TEXT(C13,"#,##0.0")&amp;"T tokens"</f>
        <v>138,538,465,099,776.0T tokens</v>
      </c>
      <c r="F77" s="4"/>
    </row>
    <row r="78" customFormat="false" ht="16.5" hidden="false" customHeight="true" outlineLevel="0" collapsed="false">
      <c r="B78" s="54" t="s">
        <v>102</v>
      </c>
      <c r="C78" s="55" t="s">
        <v>103</v>
      </c>
      <c r="D78" s="4"/>
      <c r="E78" s="56" t="str">
        <f aca="false">TEXT(C23,"#,##0.0")&amp;"B parameters"</f>
        <v>70.0B parameters</v>
      </c>
      <c r="F78" s="4"/>
    </row>
    <row r="79" customFormat="false" ht="16.5" hidden="false" customHeight="true" outlineLevel="0" collapsed="false">
      <c r="B79" s="54" t="s">
        <v>102</v>
      </c>
      <c r="C79" s="55" t="s">
        <v>104</v>
      </c>
      <c r="D79" s="4"/>
      <c r="E79" s="56" t="str">
        <f aca="false">TEXT(C26,"#,##0.0")&amp;"B parameters"</f>
        <v>6,926,923,254,988.8B parameters</v>
      </c>
      <c r="F79" s="4"/>
    </row>
    <row r="80" customFormat="false" ht="16.5" hidden="false" customHeight="true" outlineLevel="0" collapsed="false">
      <c r="B80" s="54" t="s">
        <v>102</v>
      </c>
      <c r="C80" s="55" t="s">
        <v>105</v>
      </c>
      <c r="D80" s="4"/>
      <c r="E80" s="56" t="str">
        <f aca="false">TEXT(C27,"0.0%")</f>
        <v>0.0%</v>
      </c>
      <c r="F80" s="4"/>
    </row>
    <row r="81" customFormat="false" ht="16.5" hidden="false" customHeight="true" outlineLevel="0" collapsed="false">
      <c r="B81" s="57" t="s">
        <v>106</v>
      </c>
      <c r="C81" s="55" t="s">
        <v>107</v>
      </c>
      <c r="D81" s="4"/>
      <c r="E81" s="56" t="str">
        <f aca="false">C33</f>
        <v>H200 SXM</v>
      </c>
      <c r="F81" s="4"/>
    </row>
    <row r="82" customFormat="false" ht="16.5" hidden="false" customHeight="true" outlineLevel="0" collapsed="false">
      <c r="B82" s="57" t="s">
        <v>106</v>
      </c>
      <c r="C82" s="55" t="s">
        <v>108</v>
      </c>
      <c r="D82" s="4"/>
      <c r="E82" s="56" t="str">
        <f aca="false">TEXT(C34,"#,##0")&amp;" GB"</f>
        <v>141 GB</v>
      </c>
      <c r="F82" s="4"/>
    </row>
    <row r="83" customFormat="false" ht="16.5" hidden="false" customHeight="true" outlineLevel="0" collapsed="false">
      <c r="B83" s="57" t="s">
        <v>109</v>
      </c>
      <c r="C83" s="58" t="s">
        <v>110</v>
      </c>
      <c r="D83" s="4"/>
      <c r="E83" s="59" t="str">
        <f aca="false">TEXT(C48,"#,##0")&amp;" GPUs"</f>
        <v>64 GPUs</v>
      </c>
      <c r="F83" s="4"/>
    </row>
    <row r="84" customFormat="false" ht="16.5" hidden="false" customHeight="true" outlineLevel="0" collapsed="false">
      <c r="B84" s="57" t="s">
        <v>109</v>
      </c>
      <c r="C84" s="55" t="s">
        <v>111</v>
      </c>
      <c r="D84" s="4"/>
      <c r="E84" s="56" t="str">
        <f aca="false">TEXT(C49,"#,##0")&amp;" nodes"</f>
        <v>8 nodes</v>
      </c>
      <c r="F84" s="4"/>
    </row>
    <row r="85" customFormat="false" ht="16.5" hidden="false" customHeight="true" outlineLevel="0" collapsed="false">
      <c r="B85" s="57" t="s">
        <v>109</v>
      </c>
      <c r="C85" s="55" t="s">
        <v>112</v>
      </c>
      <c r="D85" s="4"/>
      <c r="E85" s="56" t="str">
        <f aca="false">TEXT(C46,"0")&amp;"×TP · "&amp;C53&amp;" · "&amp;TEXT(C52,"0")&amp;"×DP"</f>
        <v>8×TP · PP=4 (multi-node) · 8×DP</v>
      </c>
      <c r="F85" s="4"/>
    </row>
    <row r="86" customFormat="false" ht="16.5" hidden="false" customHeight="true" outlineLevel="0" collapsed="false">
      <c r="B86" s="57" t="s">
        <v>113</v>
      </c>
      <c r="C86" s="58" t="s">
        <v>114</v>
      </c>
      <c r="D86" s="4"/>
      <c r="E86" s="59" t="str">
        <f aca="false">TEXT(C59,"0.0")&amp;" days"</f>
        <v>238932.3 days</v>
      </c>
      <c r="F86" s="4"/>
    </row>
    <row r="87" customFormat="false" ht="16.5" hidden="false" customHeight="true" outlineLevel="0" collapsed="false">
      <c r="B87" s="57" t="s">
        <v>113</v>
      </c>
      <c r="C87" s="58" t="s">
        <v>115</v>
      </c>
      <c r="D87" s="4"/>
      <c r="E87" s="59" t="str">
        <f aca="false">TEXT(D59,"0.0")&amp;" days"</f>
        <v>119405.8 days</v>
      </c>
      <c r="F87" s="4"/>
    </row>
    <row r="88" customFormat="false" ht="16.5" hidden="false" customHeight="true" outlineLevel="0" collapsed="false">
      <c r="B88" s="57" t="s">
        <v>116</v>
      </c>
      <c r="C88" s="58" t="s">
        <v>117</v>
      </c>
      <c r="D88" s="4"/>
      <c r="E88" s="59" t="str">
        <f aca="false">TEXT(C67,"#,##0")&amp;" GB/s"</f>
        <v>128 GB/s</v>
      </c>
      <c r="F88" s="4"/>
    </row>
    <row r="89" customFormat="false" ht="16.5" hidden="false" customHeight="true" outlineLevel="0" collapsed="false">
      <c r="B89" s="57" t="s">
        <v>116</v>
      </c>
      <c r="C89" s="55" t="s">
        <v>118</v>
      </c>
      <c r="D89" s="4"/>
      <c r="E89" s="56" t="str">
        <f aca="false">TEXT(C68,"#,##0")&amp;" buckets"</f>
        <v>16 buckets</v>
      </c>
      <c r="F89" s="4"/>
    </row>
    <row r="90" customFormat="false" ht="16.5" hidden="false" customHeight="true" outlineLevel="0" collapsed="false">
      <c r="B90" s="57" t="s">
        <v>116</v>
      </c>
      <c r="C90" s="55" t="s">
        <v>119</v>
      </c>
      <c r="D90" s="4"/>
      <c r="E90" s="56" t="str">
        <f aca="false">TEXT(C69,"#,##0")&amp;" shards"</f>
        <v>258,048,000,000,000,000 shards</v>
      </c>
      <c r="F90" s="4"/>
    </row>
    <row r="91" customFormat="false" ht="6" hidden="false" customHeight="true" outlineLevel="0" collapsed="false">
      <c r="A91" s="20"/>
      <c r="B91" s="20"/>
      <c r="C91" s="20"/>
      <c r="D91" s="20"/>
      <c r="E91" s="20"/>
      <c r="F91" s="20"/>
      <c r="G91" s="20"/>
    </row>
    <row r="92" customFormat="false" ht="34.5" hidden="false" customHeight="true" outlineLevel="0" collapsed="false">
      <c r="A92" s="60" t="s">
        <v>120</v>
      </c>
      <c r="B92" s="60"/>
      <c r="C92" s="60"/>
      <c r="D92" s="60"/>
      <c r="E92" s="60"/>
      <c r="F92" s="60"/>
      <c r="G92" s="60"/>
    </row>
    <row r="93" customFormat="false" ht="7.5" hidden="false" customHeight="true" outlineLevel="0" collapsed="false">
      <c r="A93" s="4"/>
      <c r="B93" s="4"/>
      <c r="C93" s="4"/>
      <c r="D93" s="4"/>
      <c r="E93" s="4"/>
      <c r="F93" s="4"/>
      <c r="G93" s="4"/>
    </row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</sheetData>
  <mergeCells count="24">
    <mergeCell ref="A2:G2"/>
    <mergeCell ref="A3:G3"/>
    <mergeCell ref="B5:C5"/>
    <mergeCell ref="E5:F5"/>
    <mergeCell ref="A7:G7"/>
    <mergeCell ref="A14:G14"/>
    <mergeCell ref="A16:G16"/>
    <mergeCell ref="A18:G18"/>
    <mergeCell ref="A24:G24"/>
    <mergeCell ref="A29:G29"/>
    <mergeCell ref="A31:G31"/>
    <mergeCell ref="A40:G40"/>
    <mergeCell ref="A42:G42"/>
    <mergeCell ref="A45:G45"/>
    <mergeCell ref="A51:G51"/>
    <mergeCell ref="A54:G54"/>
    <mergeCell ref="A56:G56"/>
    <mergeCell ref="A60:G60"/>
    <mergeCell ref="A63:G63"/>
    <mergeCell ref="A65:G65"/>
    <mergeCell ref="A73:G73"/>
    <mergeCell ref="A75:G75"/>
    <mergeCell ref="A91:G91"/>
    <mergeCell ref="A92:G92"/>
  </mergeCells>
  <dataValidations count="2">
    <dataValidation allowBlank="false" errorStyle="stop" operator="between" showDropDown="false" showErrorMessage="false" showInputMessage="false" sqref="C20" type="list">
      <formula1>"7B,13B,70B,180B,405B,1T,Custom"</formula1>
      <formula2>0</formula2>
    </dataValidation>
    <dataValidation allowBlank="false" errorStyle="stop" operator="between" showDropDown="false" showErrorMessage="false" showInputMessage="false" sqref="C33" type="list">
      <formula1>"H200 SXM,H100 SXM,H100 PCIe,A100 SXM 80GB,A100 PCIe 80GB,A100 PCIe 40GB"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E7490"/>
    <pageSetUpPr fitToPage="false"/>
  </sheetPr>
  <dimension ref="A1:G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12"/>
    <col collapsed="false" customWidth="true" hidden="false" outlineLevel="0" max="6" min="3" style="1" width="14"/>
    <col collapsed="false" customWidth="true" hidden="false" outlineLevel="0" max="7" min="7" style="1" width="20"/>
  </cols>
  <sheetData>
    <row r="1" customFormat="false" ht="21.75" hidden="false" customHeight="true" outlineLevel="0" collapsed="false">
      <c r="A1" s="61" t="s">
        <v>121</v>
      </c>
      <c r="B1" s="61"/>
      <c r="C1" s="61"/>
      <c r="D1" s="61"/>
      <c r="E1" s="61"/>
      <c r="F1" s="61"/>
      <c r="G1" s="61"/>
    </row>
    <row r="2" customFormat="false" ht="18" hidden="false" customHeight="true" outlineLevel="0" collapsed="false">
      <c r="A2" s="62" t="s">
        <v>42</v>
      </c>
      <c r="B2" s="62" t="s">
        <v>122</v>
      </c>
      <c r="C2" s="62" t="s">
        <v>123</v>
      </c>
      <c r="D2" s="62" t="s">
        <v>124</v>
      </c>
      <c r="E2" s="62" t="s">
        <v>125</v>
      </c>
      <c r="F2" s="62" t="s">
        <v>126</v>
      </c>
      <c r="G2" s="62" t="s">
        <v>22</v>
      </c>
    </row>
    <row r="3" customFormat="false" ht="16.5" hidden="false" customHeight="true" outlineLevel="0" collapsed="false">
      <c r="A3" s="63" t="s">
        <v>43</v>
      </c>
      <c r="B3" s="64" t="n">
        <v>141</v>
      </c>
      <c r="C3" s="65" t="n">
        <v>4.8</v>
      </c>
      <c r="D3" s="66" t="n">
        <v>989</v>
      </c>
      <c r="E3" s="66" t="n">
        <v>1979</v>
      </c>
      <c r="F3" s="67" t="n">
        <v>900</v>
      </c>
      <c r="G3" s="68" t="s">
        <v>127</v>
      </c>
    </row>
    <row r="4" customFormat="false" ht="16.5" hidden="false" customHeight="true" outlineLevel="0" collapsed="false">
      <c r="A4" s="69" t="s">
        <v>128</v>
      </c>
      <c r="B4" s="70" t="n">
        <v>80</v>
      </c>
      <c r="C4" s="70" t="n">
        <v>3.35</v>
      </c>
      <c r="D4" s="71" t="n">
        <v>989</v>
      </c>
      <c r="E4" s="71" t="n">
        <v>1979</v>
      </c>
      <c r="F4" s="71" t="n">
        <v>900</v>
      </c>
      <c r="G4" s="55" t="s">
        <v>129</v>
      </c>
    </row>
    <row r="5" customFormat="false" ht="16.5" hidden="false" customHeight="true" outlineLevel="0" collapsed="false">
      <c r="A5" s="72" t="s">
        <v>130</v>
      </c>
      <c r="B5" s="73" t="n">
        <v>80</v>
      </c>
      <c r="C5" s="73" t="n">
        <v>2</v>
      </c>
      <c r="D5" s="74" t="n">
        <v>756</v>
      </c>
      <c r="E5" s="74" t="n">
        <v>1513</v>
      </c>
      <c r="F5" s="75" t="s">
        <v>131</v>
      </c>
      <c r="G5" s="76" t="s">
        <v>132</v>
      </c>
    </row>
    <row r="6" customFormat="false" ht="16.5" hidden="false" customHeight="true" outlineLevel="0" collapsed="false">
      <c r="A6" s="69" t="s">
        <v>133</v>
      </c>
      <c r="B6" s="70" t="n">
        <v>80</v>
      </c>
      <c r="C6" s="70" t="n">
        <v>2</v>
      </c>
      <c r="D6" s="71" t="n">
        <v>312</v>
      </c>
      <c r="E6" s="71" t="s">
        <v>134</v>
      </c>
      <c r="F6" s="71" t="n">
        <v>600</v>
      </c>
      <c r="G6" s="55" t="s">
        <v>135</v>
      </c>
    </row>
    <row r="7" customFormat="false" ht="16.5" hidden="false" customHeight="true" outlineLevel="0" collapsed="false">
      <c r="A7" s="72" t="s">
        <v>136</v>
      </c>
      <c r="B7" s="73" t="n">
        <v>80</v>
      </c>
      <c r="C7" s="73" t="n">
        <v>2</v>
      </c>
      <c r="D7" s="74" t="n">
        <v>312</v>
      </c>
      <c r="E7" s="74" t="s">
        <v>134</v>
      </c>
      <c r="F7" s="75" t="s">
        <v>131</v>
      </c>
      <c r="G7" s="76" t="s">
        <v>137</v>
      </c>
    </row>
    <row r="8" customFormat="false" ht="16.5" hidden="false" customHeight="true" outlineLevel="0" collapsed="false">
      <c r="A8" s="69" t="s">
        <v>138</v>
      </c>
      <c r="B8" s="70" t="n">
        <v>40</v>
      </c>
      <c r="C8" s="70" t="n">
        <v>1.6</v>
      </c>
      <c r="D8" s="71" t="n">
        <v>312</v>
      </c>
      <c r="E8" s="71" t="s">
        <v>134</v>
      </c>
      <c r="F8" s="77" t="s">
        <v>131</v>
      </c>
      <c r="G8" s="55" t="s">
        <v>139</v>
      </c>
    </row>
    <row r="9" customFormat="false" ht="16.5" hidden="false" customHeight="true" outlineLevel="0" collapsed="false">
      <c r="A9" s="78" t="s">
        <v>140</v>
      </c>
      <c r="B9" s="79"/>
      <c r="C9" s="79"/>
      <c r="D9" s="79"/>
      <c r="E9" s="79"/>
      <c r="F9" s="79"/>
      <c r="G9" s="80" t="s">
        <v>141</v>
      </c>
    </row>
    <row r="10" customFormat="false" ht="36" hidden="false" customHeight="true" outlineLevel="0" collapsed="false">
      <c r="A10" s="81" t="s">
        <v>142</v>
      </c>
      <c r="B10" s="81"/>
      <c r="C10" s="81"/>
      <c r="D10" s="81"/>
      <c r="E10" s="81"/>
      <c r="F10" s="81"/>
      <c r="G10" s="81"/>
    </row>
    <row r="11" customFormat="false" ht="21.75" hidden="false" customHeight="true" outlineLevel="0" collapsed="false">
      <c r="A11" s="82" t="s">
        <v>143</v>
      </c>
      <c r="B11" s="82"/>
      <c r="C11" s="82"/>
      <c r="D11" s="82"/>
      <c r="E11" s="82"/>
      <c r="F11" s="82"/>
      <c r="G11" s="82"/>
    </row>
  </sheetData>
  <mergeCells count="3">
    <mergeCell ref="A1:G1"/>
    <mergeCell ref="A10:G10"/>
    <mergeCell ref="A11:G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5821A"/>
    <pageSetUpPr fitToPage="false"/>
  </sheetPr>
  <dimension ref="A1:F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3" min="2" style="1" width="18"/>
    <col collapsed="false" customWidth="true" hidden="false" outlineLevel="0" max="4" min="4" style="1" width="20"/>
    <col collapsed="false" customWidth="true" hidden="false" outlineLevel="0" max="5" min="5" style="1" width="22"/>
    <col collapsed="false" customWidth="true" hidden="false" outlineLevel="0" max="6" min="6" style="1" width="28"/>
  </cols>
  <sheetData>
    <row r="1" customFormat="false" ht="21.75" hidden="false" customHeight="true" outlineLevel="0" collapsed="false">
      <c r="A1" s="61" t="s">
        <v>144</v>
      </c>
      <c r="B1" s="61"/>
      <c r="C1" s="61"/>
      <c r="D1" s="61"/>
      <c r="E1" s="61"/>
      <c r="F1" s="61"/>
    </row>
    <row r="2" customFormat="false" ht="18" hidden="false" customHeight="true" outlineLevel="0" collapsed="false">
      <c r="A2" s="83" t="s">
        <v>145</v>
      </c>
      <c r="B2" s="62" t="s">
        <v>146</v>
      </c>
      <c r="C2" s="62" t="s">
        <v>147</v>
      </c>
      <c r="D2" s="62" t="s">
        <v>148</v>
      </c>
      <c r="E2" s="62" t="s">
        <v>149</v>
      </c>
      <c r="F2" s="62" t="s">
        <v>150</v>
      </c>
    </row>
    <row r="3" customFormat="false" ht="16.5" hidden="false" customHeight="true" outlineLevel="0" collapsed="false">
      <c r="A3" s="72" t="s">
        <v>151</v>
      </c>
      <c r="B3" s="84" t="n">
        <v>7</v>
      </c>
      <c r="C3" s="85" t="n">
        <v>140</v>
      </c>
      <c r="D3" s="86" t="n">
        <v>112</v>
      </c>
      <c r="E3" s="75" t="s">
        <v>152</v>
      </c>
      <c r="F3" s="76" t="s">
        <v>153</v>
      </c>
    </row>
    <row r="4" customFormat="false" ht="16.5" hidden="false" customHeight="true" outlineLevel="0" collapsed="false">
      <c r="A4" s="69" t="s">
        <v>154</v>
      </c>
      <c r="B4" s="87" t="n">
        <v>13</v>
      </c>
      <c r="C4" s="88" t="n">
        <v>260</v>
      </c>
      <c r="D4" s="89" t="n">
        <v>208</v>
      </c>
      <c r="E4" s="77" t="s">
        <v>155</v>
      </c>
      <c r="F4" s="55" t="s">
        <v>156</v>
      </c>
    </row>
    <row r="5" customFormat="false" ht="16.5" hidden="false" customHeight="true" outlineLevel="0" collapsed="false">
      <c r="A5" s="90" t="s">
        <v>24</v>
      </c>
      <c r="B5" s="91" t="n">
        <v>70</v>
      </c>
      <c r="C5" s="92" t="n">
        <v>1400</v>
      </c>
      <c r="D5" s="93" t="n">
        <v>1120</v>
      </c>
      <c r="E5" s="94" t="s">
        <v>157</v>
      </c>
      <c r="F5" s="90" t="s">
        <v>158</v>
      </c>
    </row>
    <row r="6" customFormat="false" ht="16.5" hidden="false" customHeight="true" outlineLevel="0" collapsed="false">
      <c r="A6" s="69" t="s">
        <v>159</v>
      </c>
      <c r="B6" s="87" t="n">
        <v>180</v>
      </c>
      <c r="C6" s="88" t="n">
        <v>3600</v>
      </c>
      <c r="D6" s="89" t="n">
        <v>2880</v>
      </c>
      <c r="E6" s="77" t="s">
        <v>160</v>
      </c>
      <c r="F6" s="55" t="s">
        <v>161</v>
      </c>
    </row>
    <row r="7" customFormat="false" ht="16.5" hidden="false" customHeight="true" outlineLevel="0" collapsed="false">
      <c r="A7" s="72" t="s">
        <v>162</v>
      </c>
      <c r="B7" s="84" t="n">
        <v>405</v>
      </c>
      <c r="C7" s="85" t="n">
        <v>8100</v>
      </c>
      <c r="D7" s="86" t="n">
        <v>6480</v>
      </c>
      <c r="E7" s="75" t="s">
        <v>163</v>
      </c>
      <c r="F7" s="76" t="s">
        <v>164</v>
      </c>
    </row>
    <row r="8" customFormat="false" ht="16.5" hidden="false" customHeight="true" outlineLevel="0" collapsed="false">
      <c r="A8" s="69" t="s">
        <v>165</v>
      </c>
      <c r="B8" s="87" t="n">
        <v>1000</v>
      </c>
      <c r="C8" s="88" t="n">
        <v>20000</v>
      </c>
      <c r="D8" s="89" t="n">
        <v>16000</v>
      </c>
      <c r="E8" s="77" t="s">
        <v>166</v>
      </c>
      <c r="F8" s="55" t="s">
        <v>167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2026-04-14T15:08:10Z</dcterms:created>
  <dc:creator>openpyxl</dc:creator>
  <dc:description/>
  <dc:language>en-US</dc:language>
  <cp:lastModifiedBy/>
  <dcterms:modified xsi:type="dcterms:W3CDTF">2026-04-14T15:14:33Z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